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119a1e2f82366dc/Desktop/Hedging Sheet/"/>
    </mc:Choice>
  </mc:AlternateContent>
  <xr:revisionPtr revIDLastSave="47" documentId="13_ncr:1_{947ED438-D3F0-4D46-BB98-DE7DE125305F}" xr6:coauthVersionLast="47" xr6:coauthVersionMax="47" xr10:uidLastSave="{2FBF4785-CE7A-4081-A63A-F8988F8A50AB}"/>
  <bookViews>
    <workbookView xWindow="-98" yWindow="-98" windowWidth="21795" windowHeight="12975" tabRatio="726" activeTab="7" xr2:uid="{00000000-000D-0000-FFFF-FFFF00000000}"/>
  </bookViews>
  <sheets>
    <sheet name="MTM &amp; Margin req" sheetId="18" r:id="rId1"/>
    <sheet name="Summary Sheet" sheetId="6" r:id="rId2"/>
    <sheet name="Pricer" sheetId="1" r:id="rId3"/>
    <sheet name="Pivot of Positions" sheetId="8" state="hidden" r:id="rId4"/>
    <sheet name="MarketData" sheetId="2" r:id="rId5"/>
    <sheet name="Pricing Params" sheetId="3" r:id="rId6"/>
    <sheet name="Product Description" sheetId="12" r:id="rId7"/>
    <sheet name="Day1 Vega Hedge" sheetId="17" r:id="rId8"/>
    <sheet name="Data" sheetId="19" r:id="rId9"/>
  </sheets>
  <externalReferences>
    <externalReference r:id="rId10"/>
    <externalReference r:id="rId11"/>
  </externalReferences>
  <definedNames>
    <definedName name="_xlnm._FilterDatabase" localSheetId="7" hidden="1">'Day1 Vega Hedge'!#REF!</definedName>
    <definedName name="_xlnm._FilterDatabase" localSheetId="2" hidden="1">Pricer!$O$6:$O$9</definedName>
    <definedName name="_xlnm._FilterDatabase" localSheetId="5" hidden="1">'Pricing Params'!$B$1:$H$7</definedName>
    <definedName name="t" localSheetId="7">MarketData!$C$2</definedName>
    <definedName name="t" localSheetId="0">[1]MarketData!$C$2</definedName>
    <definedName name="t" localSheetId="6">[2]MarketData!$C$2</definedName>
    <definedName name="t">MarketData!$C$2</definedName>
    <definedName name="x" localSheetId="7">MarketData!$D$2:$Z$2</definedName>
    <definedName name="x" localSheetId="0">[1]MarketData!$D$2:$Z$2</definedName>
    <definedName name="x" localSheetId="6">[2]MarketData!$D$2:$Z$2</definedName>
    <definedName name="x">MarketData!$D$2:$Z$2</definedName>
    <definedName name="y" localSheetId="7">MarketData!$C$3:$C$22</definedName>
    <definedName name="y" localSheetId="0">[1]MarketData!$C$3:$C$18</definedName>
    <definedName name="y" localSheetId="6">[2]MarketData!$C$3:$C$18</definedName>
    <definedName name="y">MarketData!$C$3:$C$22</definedName>
  </definedName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5" i="1" l="1"/>
  <c r="B47" i="1"/>
  <c r="B31" i="1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CS17" i="1"/>
  <c r="CR17" i="1"/>
  <c r="CQ17" i="1"/>
  <c r="CP17" i="1"/>
  <c r="CO17" i="1"/>
  <c r="CN17" i="1"/>
  <c r="CM17" i="1"/>
  <c r="CL17" i="1"/>
  <c r="P21" i="2"/>
  <c r="X21" i="2" l="1"/>
  <c r="X2" i="2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G2" i="6" l="1"/>
  <c r="H2" i="6" l="1"/>
  <c r="G3" i="6" l="1"/>
  <c r="G4" i="6" l="1"/>
  <c r="G6" i="6"/>
  <c r="H3" i="6"/>
  <c r="H4" i="6" s="1"/>
  <c r="BN17" i="1" l="1"/>
  <c r="BO17" i="1"/>
  <c r="BP17" i="1"/>
  <c r="BQ17" i="1"/>
  <c r="BR17" i="1"/>
  <c r="BS17" i="1"/>
  <c r="BT17" i="1"/>
  <c r="BU17" i="1"/>
  <c r="BV17" i="1"/>
  <c r="CD17" i="1" s="1"/>
  <c r="BW17" i="1"/>
  <c r="CE17" i="1" s="1"/>
  <c r="BX17" i="1"/>
  <c r="CF17" i="1" s="1"/>
  <c r="BY17" i="1"/>
  <c r="CG17" i="1" s="1"/>
  <c r="BZ17" i="1"/>
  <c r="CH17" i="1" s="1"/>
  <c r="CA17" i="1"/>
  <c r="CI17" i="1" s="1"/>
  <c r="CB17" i="1"/>
  <c r="CJ17" i="1" s="1"/>
  <c r="CC17" i="1"/>
  <c r="CK17" i="1" s="1"/>
  <c r="N3" i="6"/>
  <c r="S16" i="18" l="1"/>
  <c r="C5" i="6" l="1"/>
  <c r="W21" i="2" l="1"/>
  <c r="V21" i="2"/>
  <c r="U21" i="2"/>
  <c r="T21" i="2"/>
  <c r="S21" i="2"/>
  <c r="R21" i="2"/>
  <c r="Q21" i="2"/>
  <c r="O21" i="2"/>
  <c r="L21" i="2"/>
  <c r="K21" i="2"/>
  <c r="J21" i="2"/>
  <c r="I21" i="2"/>
  <c r="H21" i="2"/>
  <c r="G21" i="2"/>
  <c r="F21" i="2"/>
  <c r="E21" i="2"/>
  <c r="M21" i="2"/>
  <c r="C33" i="1" l="1"/>
  <c r="D33" i="1" s="1"/>
  <c r="E33" i="1" s="1"/>
  <c r="F33" i="1" s="1"/>
  <c r="G33" i="1" s="1"/>
  <c r="H33" i="1" s="1"/>
  <c r="I33" i="1" s="1"/>
  <c r="J33" i="1" s="1"/>
  <c r="K33" i="1" s="1"/>
  <c r="L33" i="1" s="1"/>
  <c r="M33" i="1" s="1"/>
  <c r="N33" i="1" s="1"/>
  <c r="O33" i="1" s="1"/>
  <c r="P33" i="1" s="1"/>
  <c r="Q33" i="1" s="1"/>
  <c r="R33" i="1" s="1"/>
  <c r="S33" i="1" s="1"/>
  <c r="T33" i="1" s="1"/>
  <c r="U33" i="1" s="1"/>
  <c r="V33" i="1" s="1"/>
  <c r="W33" i="1" s="1"/>
  <c r="X33" i="1" s="1"/>
  <c r="Y33" i="1" s="1"/>
  <c r="Z33" i="1" s="1"/>
  <c r="AA33" i="1" s="1"/>
  <c r="AB33" i="1" s="1"/>
  <c r="AC33" i="1" s="1"/>
  <c r="AD33" i="1" s="1"/>
  <c r="AE33" i="1" s="1"/>
  <c r="AF33" i="1" s="1"/>
  <c r="AG33" i="1" s="1"/>
  <c r="AH33" i="1" s="1"/>
  <c r="AI33" i="1" s="1"/>
  <c r="AJ33" i="1" s="1"/>
  <c r="AK33" i="1" s="1"/>
  <c r="AL33" i="1" s="1"/>
  <c r="AM33" i="1" s="1"/>
  <c r="AN33" i="1" s="1"/>
  <c r="AO33" i="1" s="1"/>
  <c r="AP33" i="1" s="1"/>
  <c r="AQ33" i="1" s="1"/>
  <c r="AR33" i="1" s="1"/>
  <c r="AS33" i="1" s="1"/>
  <c r="AT33" i="1" s="1"/>
  <c r="AU33" i="1" s="1"/>
  <c r="AV33" i="1" s="1"/>
  <c r="AW33" i="1" s="1"/>
  <c r="AX33" i="1" s="1"/>
  <c r="AY33" i="1" s="1"/>
  <c r="AZ33" i="1" s="1"/>
  <c r="BA33" i="1" s="1"/>
  <c r="BB33" i="1" s="1"/>
  <c r="BC33" i="1" s="1"/>
  <c r="BD33" i="1" s="1"/>
  <c r="BE33" i="1" s="1"/>
  <c r="BF33" i="1" s="1"/>
  <c r="BG33" i="1" s="1"/>
  <c r="BH33" i="1" s="1"/>
  <c r="BI33" i="1" s="1"/>
  <c r="BJ33" i="1" s="1"/>
  <c r="BK33" i="1" s="1"/>
  <c r="BL33" i="1" s="1"/>
  <c r="BM33" i="1" s="1"/>
  <c r="BN33" i="1" s="1"/>
  <c r="BO33" i="1" s="1"/>
  <c r="BP33" i="1" s="1"/>
  <c r="BQ33" i="1" s="1"/>
  <c r="BR33" i="1" s="1"/>
  <c r="BS33" i="1" s="1"/>
  <c r="BT33" i="1" s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D32" i="2" l="1"/>
  <c r="D33" i="2"/>
  <c r="D34" i="2"/>
  <c r="O2" i="3" s="1"/>
  <c r="B5" i="1" l="1"/>
  <c r="D15" i="6" l="1"/>
  <c r="I23" i="6" s="1"/>
  <c r="C4" i="17" l="1"/>
  <c r="AV39" i="19" l="1"/>
  <c r="AU39" i="19"/>
  <c r="AT39" i="19"/>
  <c r="AS39" i="19"/>
  <c r="AR39" i="19"/>
  <c r="AQ39" i="19"/>
  <c r="AP39" i="19"/>
  <c r="AO39" i="19"/>
  <c r="AN39" i="19"/>
  <c r="AM39" i="19"/>
  <c r="AL39" i="19"/>
  <c r="AK39" i="19"/>
  <c r="AJ39" i="19"/>
  <c r="AI39" i="19"/>
  <c r="AH39" i="19"/>
  <c r="AG39" i="19"/>
  <c r="AF39" i="19"/>
  <c r="AE39" i="19"/>
  <c r="AD39" i="19"/>
  <c r="AC39" i="19"/>
  <c r="AB39" i="19"/>
  <c r="AA39" i="19"/>
  <c r="Z39" i="19"/>
  <c r="Y39" i="19"/>
  <c r="X39" i="19"/>
  <c r="W39" i="19"/>
  <c r="V39" i="19"/>
  <c r="U39" i="19"/>
  <c r="T39" i="19"/>
  <c r="S39" i="19"/>
  <c r="R39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AV32" i="19"/>
  <c r="AU32" i="19"/>
  <c r="AT32" i="19"/>
  <c r="AS32" i="19"/>
  <c r="AR32" i="19"/>
  <c r="AQ32" i="19"/>
  <c r="AP32" i="19"/>
  <c r="AO32" i="19"/>
  <c r="AV27" i="19"/>
  <c r="AU27" i="19"/>
  <c r="AT27" i="19"/>
  <c r="AS27" i="19"/>
  <c r="AR27" i="19"/>
  <c r="AQ27" i="19"/>
  <c r="AP27" i="19"/>
  <c r="AO27" i="19"/>
  <c r="AN27" i="19"/>
  <c r="AM27" i="19"/>
  <c r="AL27" i="19"/>
  <c r="AK27" i="19"/>
  <c r="AJ27" i="19"/>
  <c r="AI27" i="19"/>
  <c r="AH27" i="19"/>
  <c r="AG27" i="19"/>
  <c r="AF27" i="19"/>
  <c r="AE27" i="19"/>
  <c r="AD27" i="19"/>
  <c r="AC27" i="19"/>
  <c r="AB27" i="19"/>
  <c r="AA27" i="19"/>
  <c r="Z27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A27" i="19"/>
  <c r="AV22" i="19"/>
  <c r="AU22" i="19"/>
  <c r="AT22" i="19"/>
  <c r="AS22" i="19"/>
  <c r="AR22" i="19"/>
  <c r="AQ22" i="19"/>
  <c r="AP22" i="19"/>
  <c r="AO22" i="19"/>
  <c r="AN22" i="19"/>
  <c r="AM22" i="19"/>
  <c r="AL22" i="19"/>
  <c r="AK22" i="19"/>
  <c r="AJ22" i="19"/>
  <c r="AI22" i="19"/>
  <c r="AH22" i="19"/>
  <c r="AG22" i="19"/>
  <c r="AF22" i="19"/>
  <c r="AE22" i="19"/>
  <c r="AD22" i="19"/>
  <c r="AC22" i="19"/>
  <c r="AB22" i="19"/>
  <c r="AA22" i="19"/>
  <c r="Z22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AV19" i="19"/>
  <c r="AU19" i="19"/>
  <c r="AT19" i="19"/>
  <c r="AS19" i="19"/>
  <c r="AR19" i="19"/>
  <c r="AQ19" i="19"/>
  <c r="AP19" i="19"/>
  <c r="AO19" i="19"/>
  <c r="AN19" i="19"/>
  <c r="AM19" i="19"/>
  <c r="AL19" i="19"/>
  <c r="AK19" i="19"/>
  <c r="AJ19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A19" i="19"/>
  <c r="AV18" i="19"/>
  <c r="AU18" i="19"/>
  <c r="AT18" i="19"/>
  <c r="AS18" i="19"/>
  <c r="AR18" i="19"/>
  <c r="AQ18" i="19"/>
  <c r="AP18" i="19"/>
  <c r="AO18" i="19"/>
  <c r="AN18" i="19"/>
  <c r="AM18" i="19"/>
  <c r="AL18" i="19"/>
  <c r="AK18" i="19"/>
  <c r="AJ18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A18" i="19"/>
  <c r="AV3" i="19"/>
  <c r="AU3" i="19"/>
  <c r="AT3" i="19"/>
  <c r="AS3" i="19"/>
  <c r="AR3" i="19"/>
  <c r="AQ3" i="19"/>
  <c r="AP3" i="19"/>
  <c r="AO3" i="19"/>
  <c r="AN3" i="19"/>
  <c r="AM3" i="19"/>
  <c r="AL3" i="19"/>
  <c r="AK3" i="19"/>
  <c r="AJ3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3" i="19"/>
  <c r="AV2" i="19"/>
  <c r="AU2" i="19"/>
  <c r="AT2" i="19"/>
  <c r="AS2" i="19"/>
  <c r="AR2" i="19"/>
  <c r="AQ2" i="19"/>
  <c r="AP2" i="19"/>
  <c r="AO2" i="19"/>
  <c r="F3" i="17" l="1"/>
  <c r="F2" i="17"/>
  <c r="C3" i="17" l="1"/>
  <c r="M3" i="6" l="1"/>
  <c r="O3" i="6" s="1"/>
  <c r="L3" i="6"/>
  <c r="K3" i="6"/>
  <c r="J3" i="6"/>
  <c r="I3" i="6"/>
  <c r="I2" i="6"/>
  <c r="I4" i="6" l="1"/>
  <c r="J2" i="6"/>
  <c r="W2" i="2"/>
  <c r="V2" i="2"/>
  <c r="U2" i="2"/>
  <c r="T2" i="2"/>
  <c r="S2" i="2"/>
  <c r="R2" i="2"/>
  <c r="Q2" i="2"/>
  <c r="P2" i="2"/>
  <c r="O2" i="2"/>
  <c r="M2" i="2"/>
  <c r="L2" i="2"/>
  <c r="K2" i="2"/>
  <c r="J2" i="2"/>
  <c r="I2" i="2"/>
  <c r="H2" i="2"/>
  <c r="G2" i="2"/>
  <c r="F2" i="2"/>
  <c r="E2" i="2"/>
  <c r="K2" i="6" l="1"/>
  <c r="J4" i="6"/>
  <c r="L2" i="6" l="1"/>
  <c r="K4" i="6"/>
  <c r="Q10" i="18"/>
  <c r="M2" i="6" l="1"/>
  <c r="M4" i="6" s="1"/>
  <c r="L4" i="6"/>
  <c r="D46" i="12" l="1"/>
  <c r="I20" i="1" l="1"/>
  <c r="H20" i="1"/>
  <c r="G20" i="1"/>
  <c r="F20" i="1"/>
  <c r="E20" i="1"/>
  <c r="D20" i="1"/>
  <c r="C20" i="1"/>
  <c r="B5" i="19" s="1"/>
  <c r="B20" i="1"/>
  <c r="B21" i="6" l="1"/>
  <c r="A5" i="19"/>
  <c r="BA20" i="1"/>
  <c r="D5" i="19"/>
  <c r="BC20" i="1"/>
  <c r="F5" i="19"/>
  <c r="BD20" i="1"/>
  <c r="G5" i="19"/>
  <c r="AZ20" i="1"/>
  <c r="C5" i="19"/>
  <c r="BB20" i="1"/>
  <c r="E5" i="19"/>
  <c r="BE20" i="1"/>
  <c r="H5" i="19"/>
  <c r="AY20" i="1"/>
  <c r="B25" i="1"/>
  <c r="AX20" i="1"/>
  <c r="G25" i="1"/>
  <c r="F10" i="19" s="1"/>
  <c r="H25" i="1"/>
  <c r="G10" i="19" s="1"/>
  <c r="F25" i="1"/>
  <c r="E10" i="19" s="1"/>
  <c r="E25" i="1"/>
  <c r="D10" i="19" s="1"/>
  <c r="C25" i="1"/>
  <c r="B10" i="19" s="1"/>
  <c r="D25" i="1"/>
  <c r="C10" i="19" s="1"/>
  <c r="I25" i="1"/>
  <c r="H10" i="19" s="1"/>
  <c r="A10" i="19" l="1"/>
  <c r="BB25" i="1"/>
  <c r="BA25" i="1"/>
  <c r="BC25" i="1"/>
  <c r="BE25" i="1"/>
  <c r="BE47" i="1" s="1"/>
  <c r="BD25" i="1"/>
  <c r="AY25" i="1"/>
  <c r="AZ25" i="1"/>
  <c r="I44" i="1"/>
  <c r="H29" i="19" s="1"/>
  <c r="H43" i="1"/>
  <c r="G28" i="19" s="1"/>
  <c r="O20" i="1"/>
  <c r="CS38" i="1"/>
  <c r="CR38" i="1"/>
  <c r="CK38" i="1"/>
  <c r="CJ38" i="1"/>
  <c r="CC38" i="1"/>
  <c r="CD38" i="1"/>
  <c r="CB38" i="1"/>
  <c r="BU38" i="1"/>
  <c r="BT38" i="1"/>
  <c r="BM38" i="1"/>
  <c r="BL38" i="1"/>
  <c r="BE44" i="1"/>
  <c r="BE43" i="1"/>
  <c r="BE39" i="1"/>
  <c r="BE38" i="1"/>
  <c r="BE21" i="1"/>
  <c r="BD44" i="1"/>
  <c r="BD43" i="1"/>
  <c r="BD39" i="1"/>
  <c r="BD38" i="1"/>
  <c r="BD21" i="1"/>
  <c r="BD22" i="1" s="1"/>
  <c r="AW38" i="1"/>
  <c r="AV23" i="19" s="1"/>
  <c r="AV38" i="1"/>
  <c r="AU23" i="19" s="1"/>
  <c r="AO38" i="1"/>
  <c r="AN23" i="19" s="1"/>
  <c r="AN38" i="1"/>
  <c r="AM23" i="19" s="1"/>
  <c r="AG38" i="1"/>
  <c r="AF23" i="19" s="1"/>
  <c r="AG17" i="1"/>
  <c r="AF38" i="1"/>
  <c r="AE23" i="19" s="1"/>
  <c r="AF17" i="1"/>
  <c r="Y38" i="1"/>
  <c r="X23" i="19" s="1"/>
  <c r="Y17" i="1"/>
  <c r="X2" i="19" s="1"/>
  <c r="X38" i="1"/>
  <c r="W23" i="19" s="1"/>
  <c r="X17" i="1"/>
  <c r="W2" i="19" s="1"/>
  <c r="Q38" i="1"/>
  <c r="P23" i="19" s="1"/>
  <c r="P38" i="1"/>
  <c r="O23" i="19" s="1"/>
  <c r="I47" i="1"/>
  <c r="H32" i="19" s="1"/>
  <c r="I38" i="1"/>
  <c r="H23" i="19" s="1"/>
  <c r="H38" i="1"/>
  <c r="G23" i="19" s="1"/>
  <c r="AE2" i="19" l="1"/>
  <c r="AN17" i="1"/>
  <c r="AM2" i="19" s="1"/>
  <c r="AF2" i="19"/>
  <c r="AO17" i="1"/>
  <c r="AN2" i="19" s="1"/>
  <c r="BK20" i="1"/>
  <c r="N5" i="19"/>
  <c r="P20" i="1"/>
  <c r="BE22" i="1"/>
  <c r="Q20" i="1"/>
  <c r="H44" i="1"/>
  <c r="G29" i="19" s="1"/>
  <c r="I21" i="1"/>
  <c r="H6" i="19" s="1"/>
  <c r="I43" i="1"/>
  <c r="H28" i="19" s="1"/>
  <c r="I39" i="1"/>
  <c r="H24" i="19" s="1"/>
  <c r="H39" i="1"/>
  <c r="G24" i="19" s="1"/>
  <c r="H21" i="1"/>
  <c r="G6" i="19" s="1"/>
  <c r="G41" i="12"/>
  <c r="BM20" i="1" l="1"/>
  <c r="BM21" i="1" s="1"/>
  <c r="BM22" i="1" s="1"/>
  <c r="P5" i="19"/>
  <c r="BL20" i="1"/>
  <c r="BL21" i="1" s="1"/>
  <c r="BL22" i="1" s="1"/>
  <c r="O5" i="19"/>
  <c r="Q21" i="1"/>
  <c r="Q25" i="1"/>
  <c r="P44" i="1"/>
  <c r="O29" i="19" s="1"/>
  <c r="P25" i="1"/>
  <c r="P43" i="1"/>
  <c r="O28" i="19" s="1"/>
  <c r="X20" i="1"/>
  <c r="P39" i="1"/>
  <c r="O24" i="19" s="1"/>
  <c r="P21" i="1"/>
  <c r="O6" i="19" s="1"/>
  <c r="Q43" i="1"/>
  <c r="P28" i="19" s="1"/>
  <c r="Q44" i="1"/>
  <c r="P29" i="19" s="1"/>
  <c r="Q39" i="1"/>
  <c r="P24" i="19" s="1"/>
  <c r="Y20" i="1"/>
  <c r="I22" i="1"/>
  <c r="H7" i="19" s="1"/>
  <c r="H22" i="1"/>
  <c r="G7" i="19" s="1"/>
  <c r="CQ38" i="1"/>
  <c r="CP38" i="1"/>
  <c r="CO38" i="1"/>
  <c r="CN38" i="1"/>
  <c r="CM38" i="1"/>
  <c r="CL38" i="1"/>
  <c r="CI38" i="1"/>
  <c r="CH38" i="1"/>
  <c r="CG38" i="1"/>
  <c r="CF38" i="1"/>
  <c r="CE38" i="1"/>
  <c r="CA38" i="1"/>
  <c r="BZ38" i="1"/>
  <c r="BY38" i="1"/>
  <c r="BX38" i="1"/>
  <c r="BW38" i="1"/>
  <c r="BV38" i="1"/>
  <c r="BS38" i="1"/>
  <c r="BR38" i="1"/>
  <c r="BQ38" i="1"/>
  <c r="BP38" i="1"/>
  <c r="BO38" i="1"/>
  <c r="BN38" i="1"/>
  <c r="BK38" i="1"/>
  <c r="BJ38" i="1"/>
  <c r="BI38" i="1"/>
  <c r="BH38" i="1"/>
  <c r="BG38" i="1"/>
  <c r="BF38" i="1"/>
  <c r="BC44" i="1"/>
  <c r="BB44" i="1"/>
  <c r="BA44" i="1"/>
  <c r="AZ44" i="1"/>
  <c r="AY44" i="1"/>
  <c r="AX44" i="1"/>
  <c r="BC43" i="1"/>
  <c r="BB43" i="1"/>
  <c r="BA43" i="1"/>
  <c r="AZ43" i="1"/>
  <c r="AY43" i="1"/>
  <c r="AX43" i="1"/>
  <c r="BC39" i="1"/>
  <c r="BB39" i="1"/>
  <c r="BA39" i="1"/>
  <c r="AZ39" i="1"/>
  <c r="AY39" i="1"/>
  <c r="AX39" i="1"/>
  <c r="BC38" i="1"/>
  <c r="BB38" i="1"/>
  <c r="BA38" i="1"/>
  <c r="AZ38" i="1"/>
  <c r="AY38" i="1"/>
  <c r="AX38" i="1"/>
  <c r="BC21" i="1"/>
  <c r="BC22" i="1" s="1"/>
  <c r="BB21" i="1"/>
  <c r="BB22" i="1" s="1"/>
  <c r="BA21" i="1"/>
  <c r="AZ21" i="1"/>
  <c r="AY21" i="1"/>
  <c r="AY22" i="1" s="1"/>
  <c r="AX21" i="1"/>
  <c r="AU38" i="1"/>
  <c r="AT23" i="19" s="1"/>
  <c r="AT38" i="1"/>
  <c r="AS23" i="19" s="1"/>
  <c r="AM38" i="1"/>
  <c r="AL23" i="19" s="1"/>
  <c r="AL38" i="1"/>
  <c r="AK23" i="19" s="1"/>
  <c r="AE38" i="1"/>
  <c r="AD23" i="19" s="1"/>
  <c r="AE17" i="1"/>
  <c r="AD38" i="1"/>
  <c r="AC23" i="19" s="1"/>
  <c r="AD17" i="1"/>
  <c r="W38" i="1"/>
  <c r="V23" i="19" s="1"/>
  <c r="W17" i="1"/>
  <c r="V2" i="19" s="1"/>
  <c r="V38" i="1"/>
  <c r="U23" i="19" s="1"/>
  <c r="V17" i="1"/>
  <c r="U2" i="19" s="1"/>
  <c r="O38" i="1"/>
  <c r="N23" i="19" s="1"/>
  <c r="O44" i="1"/>
  <c r="N29" i="19" s="1"/>
  <c r="N38" i="1"/>
  <c r="M23" i="19" s="1"/>
  <c r="N20" i="1"/>
  <c r="G44" i="1"/>
  <c r="F29" i="19" s="1"/>
  <c r="G43" i="1"/>
  <c r="F28" i="19" s="1"/>
  <c r="G39" i="1"/>
  <c r="F24" i="19" s="1"/>
  <c r="G38" i="1"/>
  <c r="F23" i="19" s="1"/>
  <c r="G21" i="1"/>
  <c r="F6" i="19" s="1"/>
  <c r="F44" i="1"/>
  <c r="E29" i="19" s="1"/>
  <c r="F43" i="1"/>
  <c r="E28" i="19" s="1"/>
  <c r="F39" i="1"/>
  <c r="E24" i="19" s="1"/>
  <c r="F38" i="1"/>
  <c r="E23" i="19" s="1"/>
  <c r="F21" i="1"/>
  <c r="E6" i="19" s="1"/>
  <c r="BM44" i="1" l="1"/>
  <c r="BM39" i="1"/>
  <c r="BM43" i="1"/>
  <c r="AD2" i="19"/>
  <c r="AM17" i="1"/>
  <c r="AL2" i="19" s="1"/>
  <c r="AC2" i="19"/>
  <c r="AL17" i="1"/>
  <c r="AK2" i="19" s="1"/>
  <c r="BL44" i="1"/>
  <c r="BL39" i="1"/>
  <c r="BL43" i="1"/>
  <c r="BU20" i="1"/>
  <c r="BU39" i="1" s="1"/>
  <c r="X5" i="19"/>
  <c r="O10" i="19"/>
  <c r="Q47" i="1"/>
  <c r="P32" i="19" s="1"/>
  <c r="P10" i="19"/>
  <c r="Q22" i="1"/>
  <c r="P7" i="19" s="1"/>
  <c r="P6" i="19"/>
  <c r="BM25" i="1"/>
  <c r="BM47" i="1" s="1"/>
  <c r="BJ20" i="1"/>
  <c r="BJ43" i="1" s="1"/>
  <c r="M5" i="19"/>
  <c r="BT20" i="1"/>
  <c r="BT43" i="1" s="1"/>
  <c r="W5" i="19"/>
  <c r="Y25" i="1"/>
  <c r="N43" i="1"/>
  <c r="M28" i="19" s="1"/>
  <c r="O25" i="1"/>
  <c r="BK43" i="1"/>
  <c r="BL25" i="1"/>
  <c r="X44" i="1"/>
  <c r="W29" i="19" s="1"/>
  <c r="X39" i="1"/>
  <c r="W24" i="19" s="1"/>
  <c r="X21" i="1"/>
  <c r="W6" i="19" s="1"/>
  <c r="AF20" i="1"/>
  <c r="X43" i="1"/>
  <c r="W28" i="19" s="1"/>
  <c r="P22" i="1"/>
  <c r="O7" i="19" s="1"/>
  <c r="Y44" i="1"/>
  <c r="X29" i="19" s="1"/>
  <c r="AG20" i="1"/>
  <c r="Y39" i="1"/>
  <c r="X24" i="19" s="1"/>
  <c r="Y43" i="1"/>
  <c r="X28" i="19" s="1"/>
  <c r="Y21" i="1"/>
  <c r="X6" i="19" s="1"/>
  <c r="BK39" i="1"/>
  <c r="BK44" i="1"/>
  <c r="BK21" i="1"/>
  <c r="AZ22" i="1"/>
  <c r="BA22" i="1"/>
  <c r="AX22" i="1"/>
  <c r="W20" i="1"/>
  <c r="V20" i="1"/>
  <c r="O39" i="1"/>
  <c r="N24" i="19" s="1"/>
  <c r="O43" i="1"/>
  <c r="N28" i="19" s="1"/>
  <c r="O21" i="1"/>
  <c r="N6" i="19" s="1"/>
  <c r="N44" i="1"/>
  <c r="M29" i="19" s="1"/>
  <c r="N39" i="1"/>
  <c r="M24" i="19" s="1"/>
  <c r="N21" i="1"/>
  <c r="M6" i="19" s="1"/>
  <c r="G22" i="1"/>
  <c r="F7" i="19" s="1"/>
  <c r="F22" i="1"/>
  <c r="E7" i="19" s="1"/>
  <c r="B10" i="1"/>
  <c r="B9" i="1"/>
  <c r="B8" i="1"/>
  <c r="A5" i="1"/>
  <c r="C23" i="6"/>
  <c r="BJ44" i="1" l="1"/>
  <c r="BU21" i="1"/>
  <c r="BU22" i="1" s="1"/>
  <c r="BJ39" i="1"/>
  <c r="BK25" i="1"/>
  <c r="BJ21" i="1"/>
  <c r="BJ22" i="1" s="1"/>
  <c r="BU25" i="1"/>
  <c r="BU47" i="1" s="1"/>
  <c r="BU44" i="1"/>
  <c r="BT21" i="1"/>
  <c r="BT22" i="1" s="1"/>
  <c r="BT44" i="1"/>
  <c r="BU43" i="1"/>
  <c r="CB20" i="1"/>
  <c r="CB21" i="1" s="1"/>
  <c r="CB22" i="1" s="1"/>
  <c r="AE5" i="19"/>
  <c r="Y47" i="1"/>
  <c r="X32" i="19" s="1"/>
  <c r="X10" i="19"/>
  <c r="CC20" i="1"/>
  <c r="CC39" i="1" s="1"/>
  <c r="AF5" i="19"/>
  <c r="BT39" i="1"/>
  <c r="BR20" i="1"/>
  <c r="BR21" i="1" s="1"/>
  <c r="BR22" i="1" s="1"/>
  <c r="U5" i="19"/>
  <c r="BS20" i="1"/>
  <c r="BS43" i="1" s="1"/>
  <c r="V5" i="19"/>
  <c r="N10" i="19"/>
  <c r="AF44" i="1"/>
  <c r="AE29" i="19" s="1"/>
  <c r="AG25" i="1"/>
  <c r="V39" i="1"/>
  <c r="U24" i="19" s="1"/>
  <c r="AE20" i="1"/>
  <c r="AD5" i="19" s="1"/>
  <c r="W25" i="1"/>
  <c r="X25" i="1"/>
  <c r="AF43" i="1"/>
  <c r="AE28" i="19" s="1"/>
  <c r="AF21" i="1"/>
  <c r="AF39" i="1"/>
  <c r="AE24" i="19" s="1"/>
  <c r="AN20" i="1"/>
  <c r="X22" i="1"/>
  <c r="W7" i="19" s="1"/>
  <c r="AG44" i="1"/>
  <c r="AF29" i="19" s="1"/>
  <c r="AG43" i="1"/>
  <c r="AF28" i="19" s="1"/>
  <c r="AO20" i="1"/>
  <c r="AG21" i="1"/>
  <c r="AF6" i="19" s="1"/>
  <c r="AG39" i="1"/>
  <c r="AF24" i="19" s="1"/>
  <c r="Y22" i="1"/>
  <c r="X7" i="19" s="1"/>
  <c r="BK22" i="1"/>
  <c r="V43" i="1"/>
  <c r="U28" i="19" s="1"/>
  <c r="V21" i="1"/>
  <c r="U6" i="19" s="1"/>
  <c r="W44" i="1"/>
  <c r="V29" i="19" s="1"/>
  <c r="V44" i="1"/>
  <c r="U29" i="19" s="1"/>
  <c r="AD20" i="1"/>
  <c r="W43" i="1"/>
  <c r="V28" i="19" s="1"/>
  <c r="W21" i="1"/>
  <c r="W39" i="1"/>
  <c r="V24" i="19" s="1"/>
  <c r="O22" i="1"/>
  <c r="N7" i="19" s="1"/>
  <c r="N22" i="1"/>
  <c r="M7" i="19" s="1"/>
  <c r="CB44" i="1" l="1"/>
  <c r="BS44" i="1"/>
  <c r="CB43" i="1"/>
  <c r="BR44" i="1"/>
  <c r="BR39" i="1"/>
  <c r="CB39" i="1"/>
  <c r="CC25" i="1"/>
  <c r="CC47" i="1" s="1"/>
  <c r="BS39" i="1"/>
  <c r="BS21" i="1"/>
  <c r="BS22" i="1" s="1"/>
  <c r="CC43" i="1"/>
  <c r="CC44" i="1"/>
  <c r="CC21" i="1"/>
  <c r="CC22" i="1" s="1"/>
  <c r="BS25" i="1"/>
  <c r="BT25" i="1"/>
  <c r="BR43" i="1"/>
  <c r="W22" i="1"/>
  <c r="V7" i="19" s="1"/>
  <c r="V6" i="19"/>
  <c r="CK20" i="1"/>
  <c r="CK44" i="1" s="1"/>
  <c r="AN5" i="19"/>
  <c r="W10" i="19"/>
  <c r="AG47" i="1"/>
  <c r="AF32" i="19" s="1"/>
  <c r="AF10" i="19"/>
  <c r="V10" i="19"/>
  <c r="CJ20" i="1"/>
  <c r="CJ44" i="1" s="1"/>
  <c r="AM5" i="19"/>
  <c r="BZ20" i="1"/>
  <c r="BZ44" i="1" s="1"/>
  <c r="AC5" i="19"/>
  <c r="AF22" i="1"/>
  <c r="AE7" i="19" s="1"/>
  <c r="AE6" i="19"/>
  <c r="AE39" i="1"/>
  <c r="AD24" i="19" s="1"/>
  <c r="CA20" i="1"/>
  <c r="CA39" i="1" s="1"/>
  <c r="AO25" i="1"/>
  <c r="AE44" i="1"/>
  <c r="AD29" i="19" s="1"/>
  <c r="AE43" i="1"/>
  <c r="AD28" i="19" s="1"/>
  <c r="AM20" i="1"/>
  <c r="AL5" i="19" s="1"/>
  <c r="AE21" i="1"/>
  <c r="AD6" i="19" s="1"/>
  <c r="AN43" i="1"/>
  <c r="AM28" i="19" s="1"/>
  <c r="AL20" i="1"/>
  <c r="AK5" i="19" s="1"/>
  <c r="AE25" i="1"/>
  <c r="AV20" i="1"/>
  <c r="AU5" i="19" s="1"/>
  <c r="AF25" i="1"/>
  <c r="AN21" i="1"/>
  <c r="AN39" i="1"/>
  <c r="AM24" i="19" s="1"/>
  <c r="AN44" i="1"/>
  <c r="AM29" i="19" s="1"/>
  <c r="AO43" i="1"/>
  <c r="AN28" i="19" s="1"/>
  <c r="AO44" i="1"/>
  <c r="AN29" i="19" s="1"/>
  <c r="AW20" i="1"/>
  <c r="AO39" i="1"/>
  <c r="AN24" i="19" s="1"/>
  <c r="AO21" i="1"/>
  <c r="AN6" i="19" s="1"/>
  <c r="AG22" i="1"/>
  <c r="AF7" i="19" s="1"/>
  <c r="V22" i="1"/>
  <c r="U7" i="19" s="1"/>
  <c r="AD21" i="1"/>
  <c r="AC6" i="19" s="1"/>
  <c r="AD43" i="1"/>
  <c r="AC28" i="19" s="1"/>
  <c r="AD44" i="1"/>
  <c r="AC29" i="19" s="1"/>
  <c r="AD39" i="1"/>
  <c r="AC24" i="19" s="1"/>
  <c r="CK39" i="1" l="1"/>
  <c r="CJ43" i="1"/>
  <c r="BZ21" i="1"/>
  <c r="BZ22" i="1" s="1"/>
  <c r="BZ43" i="1"/>
  <c r="CK43" i="1"/>
  <c r="CA21" i="1"/>
  <c r="CA22" i="1" s="1"/>
  <c r="BZ39" i="1"/>
  <c r="AN22" i="1"/>
  <c r="AM7" i="19" s="1"/>
  <c r="AM6" i="19"/>
  <c r="CJ21" i="1"/>
  <c r="CJ22" i="1" s="1"/>
  <c r="AE10" i="19"/>
  <c r="CK25" i="1"/>
  <c r="CK47" i="1" s="1"/>
  <c r="CS20" i="1"/>
  <c r="CS43" i="1" s="1"/>
  <c r="AV5" i="19"/>
  <c r="AD10" i="19"/>
  <c r="AO47" i="1"/>
  <c r="AN32" i="19" s="1"/>
  <c r="AN10" i="19"/>
  <c r="CJ39" i="1"/>
  <c r="CK21" i="1"/>
  <c r="CK22" i="1" s="1"/>
  <c r="CA43" i="1"/>
  <c r="CB25" i="1"/>
  <c r="CA44" i="1"/>
  <c r="CA25" i="1"/>
  <c r="AN25" i="1"/>
  <c r="CI20" i="1"/>
  <c r="CI21" i="1" s="1"/>
  <c r="AL39" i="1"/>
  <c r="AK24" i="19" s="1"/>
  <c r="CH20" i="1"/>
  <c r="CH43" i="1" s="1"/>
  <c r="AV39" i="1"/>
  <c r="AU24" i="19" s="1"/>
  <c r="CR20" i="1"/>
  <c r="AL44" i="1"/>
  <c r="AK29" i="19" s="1"/>
  <c r="AM43" i="1"/>
  <c r="AL28" i="19" s="1"/>
  <c r="AL43" i="1"/>
  <c r="AK28" i="19" s="1"/>
  <c r="AM44" i="1"/>
  <c r="AL29" i="19" s="1"/>
  <c r="AM21" i="1"/>
  <c r="AL6" i="19" s="1"/>
  <c r="AM39" i="1"/>
  <c r="AL24" i="19" s="1"/>
  <c r="AU20" i="1"/>
  <c r="AT5" i="19" s="1"/>
  <c r="AV44" i="1"/>
  <c r="AU29" i="19" s="1"/>
  <c r="AE22" i="1"/>
  <c r="AD7" i="19" s="1"/>
  <c r="AL21" i="1"/>
  <c r="AT20" i="1"/>
  <c r="AM25" i="1"/>
  <c r="AW25" i="1"/>
  <c r="AV10" i="19" s="1"/>
  <c r="AX25" i="1"/>
  <c r="AV21" i="1"/>
  <c r="AU6" i="19" s="1"/>
  <c r="AV43" i="1"/>
  <c r="AU28" i="19" s="1"/>
  <c r="AO22" i="1"/>
  <c r="AN7" i="19" s="1"/>
  <c r="AW43" i="1"/>
  <c r="AV28" i="19" s="1"/>
  <c r="AW39" i="1"/>
  <c r="AV24" i="19" s="1"/>
  <c r="AW44" i="1"/>
  <c r="AV29" i="19" s="1"/>
  <c r="AW21" i="1"/>
  <c r="AV6" i="19" s="1"/>
  <c r="AD22" i="1"/>
  <c r="AC7" i="19" s="1"/>
  <c r="CS44" i="1" l="1"/>
  <c r="CS21" i="1"/>
  <c r="CS22" i="1" s="1"/>
  <c r="AM10" i="19"/>
  <c r="AL10" i="19"/>
  <c r="CP20" i="1"/>
  <c r="CP39" i="1" s="1"/>
  <c r="AS5" i="19"/>
  <c r="AL22" i="1"/>
  <c r="AK7" i="19" s="1"/>
  <c r="AK6" i="19"/>
  <c r="CS39" i="1"/>
  <c r="CI43" i="1"/>
  <c r="CJ25" i="1"/>
  <c r="CI39" i="1"/>
  <c r="CI44" i="1"/>
  <c r="CH44" i="1"/>
  <c r="CH39" i="1"/>
  <c r="CI25" i="1"/>
  <c r="CH21" i="1"/>
  <c r="CH22" i="1" s="1"/>
  <c r="CR44" i="1"/>
  <c r="CR43" i="1"/>
  <c r="CR39" i="1"/>
  <c r="CR21" i="1"/>
  <c r="CR22" i="1" s="1"/>
  <c r="CS25" i="1"/>
  <c r="AU44" i="1"/>
  <c r="AT29" i="19" s="1"/>
  <c r="CQ20" i="1"/>
  <c r="CQ44" i="1" s="1"/>
  <c r="AV25" i="1"/>
  <c r="AU10" i="19" s="1"/>
  <c r="AU39" i="1"/>
  <c r="AT24" i="19" s="1"/>
  <c r="AU21" i="1"/>
  <c r="AU25" i="1"/>
  <c r="AT10" i="19" s="1"/>
  <c r="AM22" i="1"/>
  <c r="AL7" i="19" s="1"/>
  <c r="AU43" i="1"/>
  <c r="AT28" i="19" s="1"/>
  <c r="AT44" i="1"/>
  <c r="AS29" i="19" s="1"/>
  <c r="AT43" i="1"/>
  <c r="AS28" i="19" s="1"/>
  <c r="AT21" i="1"/>
  <c r="AS6" i="19" s="1"/>
  <c r="AT39" i="1"/>
  <c r="AS24" i="19" s="1"/>
  <c r="AV22" i="1"/>
  <c r="AU7" i="19" s="1"/>
  <c r="AW22" i="1"/>
  <c r="AV7" i="19" s="1"/>
  <c r="CI22" i="1"/>
  <c r="CP43" i="1" l="1"/>
  <c r="CP44" i="1"/>
  <c r="CP21" i="1"/>
  <c r="CP22" i="1" s="1"/>
  <c r="AU22" i="1"/>
  <c r="AT7" i="19" s="1"/>
  <c r="AT6" i="19"/>
  <c r="CQ39" i="1"/>
  <c r="CQ21" i="1"/>
  <c r="CQ22" i="1" s="1"/>
  <c r="CQ43" i="1"/>
  <c r="CR25" i="1"/>
  <c r="CQ25" i="1"/>
  <c r="AT22" i="1"/>
  <c r="AS7" i="19" s="1"/>
  <c r="G5" i="1" l="1"/>
  <c r="H70" i="3" l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90" i="3" l="1"/>
  <c r="H115" i="3" s="1"/>
  <c r="H102" i="3"/>
  <c r="H82" i="3"/>
  <c r="M20" i="1"/>
  <c r="L20" i="1"/>
  <c r="K20" i="1"/>
  <c r="J20" i="1"/>
  <c r="H101" i="3" l="1"/>
  <c r="H103" i="3"/>
  <c r="H89" i="3"/>
  <c r="H114" i="3" s="1"/>
  <c r="H97" i="3"/>
  <c r="H123" i="3" s="1"/>
  <c r="H99" i="3"/>
  <c r="BF20" i="1"/>
  <c r="BF44" i="1" s="1"/>
  <c r="I5" i="19"/>
  <c r="BG20" i="1"/>
  <c r="BG39" i="1" s="1"/>
  <c r="J5" i="19"/>
  <c r="BH20" i="1"/>
  <c r="K5" i="19"/>
  <c r="BI20" i="1"/>
  <c r="BI44" i="1" s="1"/>
  <c r="L5" i="19"/>
  <c r="H83" i="3"/>
  <c r="H108" i="3" s="1"/>
  <c r="H91" i="3"/>
  <c r="S20" i="1"/>
  <c r="K25" i="1"/>
  <c r="J10" i="19" s="1"/>
  <c r="T20" i="1"/>
  <c r="L25" i="1"/>
  <c r="K10" i="19" s="1"/>
  <c r="R20" i="1"/>
  <c r="J25" i="1"/>
  <c r="U20" i="1"/>
  <c r="M25" i="1"/>
  <c r="L10" i="19" s="1"/>
  <c r="N25" i="1"/>
  <c r="M10" i="19" s="1"/>
  <c r="H116" i="3" l="1"/>
  <c r="H117" i="3"/>
  <c r="H100" i="3"/>
  <c r="H104" i="3"/>
  <c r="BG44" i="1"/>
  <c r="BI21" i="1"/>
  <c r="BI22" i="1" s="1"/>
  <c r="BJ25" i="1"/>
  <c r="BI25" i="1"/>
  <c r="BI43" i="1"/>
  <c r="BG21" i="1"/>
  <c r="BG22" i="1" s="1"/>
  <c r="H88" i="3"/>
  <c r="H113" i="3" s="1"/>
  <c r="BF21" i="1"/>
  <c r="BF22" i="1" s="1"/>
  <c r="BF39" i="1"/>
  <c r="BF25" i="1"/>
  <c r="BF43" i="1"/>
  <c r="BI39" i="1"/>
  <c r="BG25" i="1"/>
  <c r="BH44" i="1"/>
  <c r="BG43" i="1"/>
  <c r="BH21" i="1"/>
  <c r="BH22" i="1" s="1"/>
  <c r="H96" i="3"/>
  <c r="H122" i="3" s="1"/>
  <c r="H98" i="3"/>
  <c r="H124" i="3" s="1"/>
  <c r="BH43" i="1"/>
  <c r="C24" i="6"/>
  <c r="I10" i="19"/>
  <c r="BH39" i="1"/>
  <c r="BH25" i="1"/>
  <c r="BN20" i="1"/>
  <c r="BN43" i="1" s="1"/>
  <c r="Q5" i="19"/>
  <c r="BP20" i="1"/>
  <c r="BP39" i="1" s="1"/>
  <c r="S5" i="19"/>
  <c r="BQ20" i="1"/>
  <c r="BQ43" i="1" s="1"/>
  <c r="T5" i="19"/>
  <c r="BO20" i="1"/>
  <c r="BO39" i="1" s="1"/>
  <c r="R5" i="19"/>
  <c r="H84" i="3"/>
  <c r="H109" i="3" s="1"/>
  <c r="H92" i="3"/>
  <c r="H118" i="3" s="1"/>
  <c r="BE23" i="1"/>
  <c r="BE24" i="1" s="1"/>
  <c r="BE29" i="1" s="1"/>
  <c r="BD23" i="1"/>
  <c r="BD24" i="1" s="1"/>
  <c r="BD29" i="1" s="1"/>
  <c r="BL23" i="1"/>
  <c r="CB23" i="1"/>
  <c r="BT23" i="1"/>
  <c r="I23" i="1"/>
  <c r="H23" i="1"/>
  <c r="BM23" i="1"/>
  <c r="BM24" i="1" s="1"/>
  <c r="BM29" i="1" s="1"/>
  <c r="F23" i="1"/>
  <c r="BU23" i="1"/>
  <c r="BU24" i="1" s="1"/>
  <c r="BU29" i="1" s="1"/>
  <c r="BC23" i="1"/>
  <c r="AX23" i="1"/>
  <c r="P23" i="1"/>
  <c r="AZ23" i="1"/>
  <c r="AZ24" i="1" s="1"/>
  <c r="G23" i="1"/>
  <c r="BA23" i="1"/>
  <c r="BA24" i="1" s="1"/>
  <c r="Q23" i="1"/>
  <c r="AY23" i="1"/>
  <c r="AY24" i="1" s="1"/>
  <c r="BB23" i="1"/>
  <c r="CJ23" i="1"/>
  <c r="BK23" i="1"/>
  <c r="BK24" i="1" s="1"/>
  <c r="X23" i="1"/>
  <c r="W8" i="19" s="1"/>
  <c r="O23" i="1"/>
  <c r="CC23" i="1"/>
  <c r="CC24" i="1" s="1"/>
  <c r="CC29" i="1" s="1"/>
  <c r="Y23" i="1"/>
  <c r="BJ23" i="1"/>
  <c r="BJ24" i="1" s="1"/>
  <c r="N23" i="1"/>
  <c r="V23" i="1"/>
  <c r="CK23" i="1"/>
  <c r="CK24" i="1" s="1"/>
  <c r="CK29" i="1" s="1"/>
  <c r="AF23" i="1"/>
  <c r="AE8" i="19" s="1"/>
  <c r="BR23" i="1"/>
  <c r="BR24" i="1" s="1"/>
  <c r="W23" i="1"/>
  <c r="AG23" i="1"/>
  <c r="CR23" i="1"/>
  <c r="BS23" i="1"/>
  <c r="BS24" i="1" s="1"/>
  <c r="AE23" i="1"/>
  <c r="AO23" i="1"/>
  <c r="BZ23" i="1"/>
  <c r="BZ24" i="1" s="1"/>
  <c r="CS23" i="1"/>
  <c r="CS24" i="1" s="1"/>
  <c r="CS29" i="1" s="1"/>
  <c r="AN23" i="1"/>
  <c r="CA23" i="1"/>
  <c r="CA24" i="1" s="1"/>
  <c r="AD23" i="1"/>
  <c r="AM23" i="1"/>
  <c r="AW23" i="1"/>
  <c r="AU23" i="1"/>
  <c r="AL23" i="1"/>
  <c r="AV23" i="1"/>
  <c r="CH23" i="1"/>
  <c r="CH24" i="1" s="1"/>
  <c r="CI23" i="1"/>
  <c r="CI24" i="1" s="1"/>
  <c r="AT23" i="1"/>
  <c r="CP23" i="1"/>
  <c r="CP24" i="1" s="1"/>
  <c r="CQ23" i="1"/>
  <c r="CQ24" i="1" s="1"/>
  <c r="AC20" i="1"/>
  <c r="U25" i="1"/>
  <c r="T10" i="19" s="1"/>
  <c r="V25" i="1"/>
  <c r="U10" i="19" s="1"/>
  <c r="Z20" i="1"/>
  <c r="Y5" i="19" s="1"/>
  <c r="R25" i="1"/>
  <c r="AB20" i="1"/>
  <c r="T25" i="1"/>
  <c r="S10" i="19" s="1"/>
  <c r="AA20" i="1"/>
  <c r="S25" i="1"/>
  <c r="R10" i="19" s="1"/>
  <c r="BI23" i="1" l="1"/>
  <c r="BI24" i="1" s="1"/>
  <c r="H87" i="3"/>
  <c r="H112" i="3" s="1"/>
  <c r="H107" i="3"/>
  <c r="H105" i="3"/>
  <c r="BG23" i="1"/>
  <c r="BG24" i="1" s="1"/>
  <c r="BF23" i="1"/>
  <c r="BF24" i="1" s="1"/>
  <c r="BP25" i="1"/>
  <c r="BN44" i="1"/>
  <c r="BH23" i="1"/>
  <c r="BH24" i="1" s="1"/>
  <c r="BR25" i="1"/>
  <c r="BQ21" i="1"/>
  <c r="BQ22" i="1" s="1"/>
  <c r="BP21" i="1"/>
  <c r="BP22" i="1" s="1"/>
  <c r="BQ39" i="1"/>
  <c r="BN21" i="1"/>
  <c r="BN22" i="1" s="1"/>
  <c r="BN25" i="1"/>
  <c r="BN39" i="1"/>
  <c r="BO25" i="1"/>
  <c r="BO21" i="1"/>
  <c r="BO22" i="1" s="1"/>
  <c r="BO43" i="1"/>
  <c r="BP44" i="1"/>
  <c r="BP43" i="1"/>
  <c r="BQ44" i="1"/>
  <c r="AV24" i="1"/>
  <c r="AU8" i="19"/>
  <c r="AN24" i="1"/>
  <c r="AM8" i="19"/>
  <c r="W24" i="1"/>
  <c r="V8" i="19"/>
  <c r="Y24" i="1"/>
  <c r="X8" i="19"/>
  <c r="O24" i="1"/>
  <c r="N8" i="19"/>
  <c r="AL24" i="1"/>
  <c r="AK9" i="19" s="1"/>
  <c r="AK8" i="19"/>
  <c r="BY20" i="1"/>
  <c r="BY39" i="1" s="1"/>
  <c r="AB5" i="19"/>
  <c r="AU24" i="1"/>
  <c r="AT8" i="19"/>
  <c r="AO24" i="1"/>
  <c r="AN8" i="19"/>
  <c r="Q24" i="1"/>
  <c r="P8" i="19"/>
  <c r="F24" i="1"/>
  <c r="E9" i="19" s="1"/>
  <c r="E8" i="19"/>
  <c r="BQ25" i="1"/>
  <c r="BW20" i="1"/>
  <c r="BW21" i="1" s="1"/>
  <c r="Z5" i="19"/>
  <c r="AW24" i="1"/>
  <c r="AV8" i="19"/>
  <c r="AE24" i="1"/>
  <c r="AD8" i="19"/>
  <c r="V24" i="1"/>
  <c r="U9" i="19" s="1"/>
  <c r="U8" i="19"/>
  <c r="AM24" i="1"/>
  <c r="AL8" i="19"/>
  <c r="G24" i="1"/>
  <c r="F8" i="19"/>
  <c r="N24" i="1"/>
  <c r="M9" i="19" s="1"/>
  <c r="M8" i="19"/>
  <c r="BX20" i="1"/>
  <c r="BX39" i="1" s="1"/>
  <c r="AA5" i="19"/>
  <c r="AT24" i="1"/>
  <c r="AS9" i="19" s="1"/>
  <c r="AS8" i="19"/>
  <c r="AD24" i="1"/>
  <c r="AC9" i="19" s="1"/>
  <c r="AC8" i="19"/>
  <c r="I24" i="1"/>
  <c r="H8" i="19"/>
  <c r="BO44" i="1"/>
  <c r="H24" i="1"/>
  <c r="G8" i="19"/>
  <c r="C25" i="6"/>
  <c r="Q10" i="19"/>
  <c r="AG24" i="1"/>
  <c r="AF8" i="19"/>
  <c r="P24" i="1"/>
  <c r="O8" i="19"/>
  <c r="H85" i="3"/>
  <c r="H95" i="3"/>
  <c r="H121" i="3" s="1"/>
  <c r="H93" i="3"/>
  <c r="H119" i="3" s="1"/>
  <c r="Z25" i="1"/>
  <c r="BV20" i="1"/>
  <c r="CJ24" i="1"/>
  <c r="CJ29" i="1" s="1"/>
  <c r="BT24" i="1"/>
  <c r="BT29" i="1" s="1"/>
  <c r="AX24" i="1"/>
  <c r="CB24" i="1"/>
  <c r="CB29" i="1" s="1"/>
  <c r="BB24" i="1"/>
  <c r="BC24" i="1"/>
  <c r="BL24" i="1"/>
  <c r="BL29" i="1" s="1"/>
  <c r="AF24" i="1"/>
  <c r="CR24" i="1"/>
  <c r="CR29" i="1" s="1"/>
  <c r="X24" i="1"/>
  <c r="AA25" i="1"/>
  <c r="Z10" i="19" s="1"/>
  <c r="AI20" i="1"/>
  <c r="AB25" i="1"/>
  <c r="AA10" i="19" s="1"/>
  <c r="AJ20" i="1"/>
  <c r="AH20" i="1"/>
  <c r="AC25" i="1"/>
  <c r="AB10" i="19" s="1"/>
  <c r="AD25" i="1"/>
  <c r="AC10" i="19" s="1"/>
  <c r="AK20" i="1"/>
  <c r="AJ5" i="19" s="1"/>
  <c r="E44" i="1"/>
  <c r="D29" i="19" s="1"/>
  <c r="E43" i="1"/>
  <c r="D28" i="19" s="1"/>
  <c r="E39" i="1"/>
  <c r="D24" i="19" s="1"/>
  <c r="E38" i="1"/>
  <c r="D23" i="19" s="1"/>
  <c r="E21" i="1"/>
  <c r="M44" i="1"/>
  <c r="L29" i="19" s="1"/>
  <c r="M43" i="1"/>
  <c r="L28" i="19" s="1"/>
  <c r="M39" i="1"/>
  <c r="L24" i="19" s="1"/>
  <c r="M38" i="1"/>
  <c r="L23" i="19" s="1"/>
  <c r="M21" i="1"/>
  <c r="U44" i="1"/>
  <c r="T29" i="19" s="1"/>
  <c r="U43" i="1"/>
  <c r="T28" i="19" s="1"/>
  <c r="U39" i="1"/>
  <c r="T24" i="19" s="1"/>
  <c r="U38" i="1"/>
  <c r="T23" i="19" s="1"/>
  <c r="U21" i="1"/>
  <c r="U17" i="1"/>
  <c r="T2" i="19" s="1"/>
  <c r="AC44" i="1"/>
  <c r="AB29" i="19" s="1"/>
  <c r="AC43" i="1"/>
  <c r="AB28" i="19" s="1"/>
  <c r="AC39" i="1"/>
  <c r="AB24" i="19" s="1"/>
  <c r="AC38" i="1"/>
  <c r="AB23" i="19" s="1"/>
  <c r="AC21" i="1"/>
  <c r="AC17" i="1"/>
  <c r="AK38" i="1"/>
  <c r="AJ23" i="19" s="1"/>
  <c r="AS38" i="1"/>
  <c r="AR23" i="19" s="1"/>
  <c r="H106" i="3" l="1"/>
  <c r="H110" i="3"/>
  <c r="BP23" i="1"/>
  <c r="BP24" i="1" s="1"/>
  <c r="AB2" i="19"/>
  <c r="AK17" i="1"/>
  <c r="AJ2" i="19" s="1"/>
  <c r="BY44" i="1"/>
  <c r="BX44" i="1"/>
  <c r="BX43" i="1"/>
  <c r="BN23" i="1"/>
  <c r="BN24" i="1" s="1"/>
  <c r="BO23" i="1"/>
  <c r="BO24" i="1" s="1"/>
  <c r="BQ23" i="1"/>
  <c r="BQ24" i="1" s="1"/>
  <c r="BW25" i="1"/>
  <c r="BW39" i="1"/>
  <c r="BY43" i="1"/>
  <c r="BZ25" i="1"/>
  <c r="BW43" i="1"/>
  <c r="BX25" i="1"/>
  <c r="BY25" i="1"/>
  <c r="BY21" i="1"/>
  <c r="BY23" i="1" s="1"/>
  <c r="X29" i="1"/>
  <c r="W14" i="19" s="1"/>
  <c r="W9" i="19"/>
  <c r="AL9" i="19"/>
  <c r="H29" i="1"/>
  <c r="G14" i="19" s="1"/>
  <c r="G9" i="19"/>
  <c r="AT9" i="19"/>
  <c r="Y29" i="1"/>
  <c r="X14" i="19" s="1"/>
  <c r="X9" i="19"/>
  <c r="AF29" i="1"/>
  <c r="AE14" i="19" s="1"/>
  <c r="AE9" i="19"/>
  <c r="E22" i="1"/>
  <c r="D7" i="19" s="1"/>
  <c r="D6" i="19"/>
  <c r="CD20" i="1"/>
  <c r="CD25" i="1" s="1"/>
  <c r="AG5" i="19"/>
  <c r="C26" i="6"/>
  <c r="Y10" i="19"/>
  <c r="P29" i="1"/>
  <c r="O14" i="19" s="1"/>
  <c r="O9" i="19"/>
  <c r="V9" i="19"/>
  <c r="AC23" i="1"/>
  <c r="AB8" i="19" s="1"/>
  <c r="AB6" i="19"/>
  <c r="CF20" i="1"/>
  <c r="CF21" i="1" s="1"/>
  <c r="AI5" i="19"/>
  <c r="I29" i="1"/>
  <c r="H14" i="19" s="1"/>
  <c r="H9" i="19"/>
  <c r="AD9" i="19"/>
  <c r="AG29" i="1"/>
  <c r="AF14" i="19" s="1"/>
  <c r="AF9" i="19"/>
  <c r="Q29" i="1"/>
  <c r="P14" i="19" s="1"/>
  <c r="P9" i="19"/>
  <c r="AN29" i="1"/>
  <c r="AM14" i="19" s="1"/>
  <c r="AM9" i="19"/>
  <c r="M23" i="1"/>
  <c r="L8" i="19" s="1"/>
  <c r="L6" i="19"/>
  <c r="CE20" i="1"/>
  <c r="CE43" i="1" s="1"/>
  <c r="AH5" i="19"/>
  <c r="BW44" i="1"/>
  <c r="BX21" i="1"/>
  <c r="BX22" i="1" s="1"/>
  <c r="F9" i="19"/>
  <c r="AW29" i="1"/>
  <c r="AV9" i="19"/>
  <c r="U23" i="1"/>
  <c r="T8" i="19" s="1"/>
  <c r="T6" i="19"/>
  <c r="AO29" i="1"/>
  <c r="AN14" i="19" s="1"/>
  <c r="AN9" i="19"/>
  <c r="N9" i="19"/>
  <c r="AV29" i="1"/>
  <c r="AU9" i="19"/>
  <c r="H86" i="3"/>
  <c r="H111" i="3" s="1"/>
  <c r="H94" i="3"/>
  <c r="H120" i="3" s="1"/>
  <c r="AK21" i="1"/>
  <c r="CG20" i="1"/>
  <c r="BW22" i="1"/>
  <c r="BW23" i="1"/>
  <c r="BV43" i="1"/>
  <c r="BV44" i="1"/>
  <c r="BV21" i="1"/>
  <c r="BV39" i="1"/>
  <c r="BV25" i="1"/>
  <c r="AK43" i="1"/>
  <c r="AJ28" i="19" s="1"/>
  <c r="AP20" i="1"/>
  <c r="AO5" i="19" s="1"/>
  <c r="AH25" i="1"/>
  <c r="AR20" i="1"/>
  <c r="AJ25" i="1"/>
  <c r="AI10" i="19" s="1"/>
  <c r="AK44" i="1"/>
  <c r="AJ29" i="19" s="1"/>
  <c r="AQ20" i="1"/>
  <c r="AI25" i="1"/>
  <c r="AH10" i="19" s="1"/>
  <c r="AS20" i="1"/>
  <c r="AK25" i="1"/>
  <c r="AJ10" i="19" s="1"/>
  <c r="AL25" i="1"/>
  <c r="AK10" i="19" s="1"/>
  <c r="AK39" i="1"/>
  <c r="AJ24" i="19" s="1"/>
  <c r="AC22" i="1"/>
  <c r="U22" i="1"/>
  <c r="M22" i="1"/>
  <c r="E23" i="1"/>
  <c r="AU14" i="19" l="1"/>
  <c r="AV14" i="19"/>
  <c r="BY22" i="1"/>
  <c r="BY24" i="1" s="1"/>
  <c r="CF43" i="1"/>
  <c r="CF44" i="1"/>
  <c r="CF25" i="1"/>
  <c r="BX23" i="1"/>
  <c r="BX24" i="1" s="1"/>
  <c r="CF39" i="1"/>
  <c r="CD39" i="1"/>
  <c r="M24" i="1"/>
  <c r="L9" i="19" s="1"/>
  <c r="L7" i="19"/>
  <c r="AC24" i="1"/>
  <c r="AB9" i="19" s="1"/>
  <c r="AB7" i="19"/>
  <c r="CN20" i="1"/>
  <c r="CN21" i="1" s="1"/>
  <c r="AQ5" i="19"/>
  <c r="CD21" i="1"/>
  <c r="CD23" i="1" s="1"/>
  <c r="CD44" i="1"/>
  <c r="CE39" i="1"/>
  <c r="CO20" i="1"/>
  <c r="CP25" i="1" s="1"/>
  <c r="AR5" i="19"/>
  <c r="CD43" i="1"/>
  <c r="CE44" i="1"/>
  <c r="E24" i="1"/>
  <c r="D9" i="19" s="1"/>
  <c r="D8" i="19"/>
  <c r="CE21" i="1"/>
  <c r="CE22" i="1" s="1"/>
  <c r="CE25" i="1"/>
  <c r="U24" i="1"/>
  <c r="T9" i="19" s="1"/>
  <c r="T7" i="19"/>
  <c r="C27" i="6"/>
  <c r="AG10" i="19"/>
  <c r="CM20" i="1"/>
  <c r="CM39" i="1" s="1"/>
  <c r="AP5" i="19"/>
  <c r="AK22" i="1"/>
  <c r="AJ7" i="19" s="1"/>
  <c r="AJ6" i="19"/>
  <c r="AK23" i="1"/>
  <c r="BW24" i="1"/>
  <c r="AP25" i="1"/>
  <c r="AO10" i="19" s="1"/>
  <c r="CL20" i="1"/>
  <c r="CF22" i="1"/>
  <c r="CF23" i="1"/>
  <c r="CH25" i="1"/>
  <c r="CG44" i="1"/>
  <c r="CG21" i="1"/>
  <c r="CG43" i="1"/>
  <c r="CG25" i="1"/>
  <c r="CG39" i="1"/>
  <c r="BV22" i="1"/>
  <c r="BV23" i="1"/>
  <c r="AQ25" i="1"/>
  <c r="AP10" i="19" s="1"/>
  <c r="AS25" i="1"/>
  <c r="AR10" i="19" s="1"/>
  <c r="AT25" i="1"/>
  <c r="AS10" i="19" s="1"/>
  <c r="AS43" i="1"/>
  <c r="AR28" i="19" s="1"/>
  <c r="AS21" i="1"/>
  <c r="AR6" i="19" s="1"/>
  <c r="AS44" i="1"/>
  <c r="AR29" i="19" s="1"/>
  <c r="AS39" i="1"/>
  <c r="AR24" i="19" s="1"/>
  <c r="AR25" i="1"/>
  <c r="AQ10" i="19" s="1"/>
  <c r="I1" i="3"/>
  <c r="CO44" i="1" l="1"/>
  <c r="CO39" i="1"/>
  <c r="CN43" i="1"/>
  <c r="BS29" i="1"/>
  <c r="BK29" i="1"/>
  <c r="CA29" i="1"/>
  <c r="CQ29" i="1"/>
  <c r="CI29" i="1"/>
  <c r="BC29" i="1"/>
  <c r="AU29" i="1"/>
  <c r="AT14" i="19" s="1"/>
  <c r="G29" i="1"/>
  <c r="F14" i="19" s="1"/>
  <c r="AM29" i="1"/>
  <c r="AL14" i="19" s="1"/>
  <c r="O29" i="1"/>
  <c r="N14" i="19" s="1"/>
  <c r="AE29" i="1"/>
  <c r="AD14" i="19" s="1"/>
  <c r="W29" i="1"/>
  <c r="V14" i="19" s="1"/>
  <c r="CO25" i="1"/>
  <c r="CD22" i="1"/>
  <c r="CD24" i="1" s="1"/>
  <c r="CD29" i="1" s="1"/>
  <c r="CN44" i="1"/>
  <c r="CN39" i="1"/>
  <c r="CO43" i="1"/>
  <c r="CN25" i="1"/>
  <c r="CO21" i="1"/>
  <c r="CO22" i="1" s="1"/>
  <c r="CM43" i="1"/>
  <c r="CM44" i="1"/>
  <c r="CM25" i="1"/>
  <c r="CE23" i="1"/>
  <c r="CE24" i="1" s="1"/>
  <c r="CE29" i="1" s="1"/>
  <c r="CM21" i="1"/>
  <c r="CM22" i="1" s="1"/>
  <c r="AK24" i="1"/>
  <c r="AJ9" i="19" s="1"/>
  <c r="AJ8" i="19"/>
  <c r="C28" i="6"/>
  <c r="CF24" i="1"/>
  <c r="CF29" i="1" s="1"/>
  <c r="BV24" i="1"/>
  <c r="BV29" i="1" s="1"/>
  <c r="CL25" i="1"/>
  <c r="CL44" i="1"/>
  <c r="CL21" i="1"/>
  <c r="CL39" i="1"/>
  <c r="CL43" i="1"/>
  <c r="CG22" i="1"/>
  <c r="CG23" i="1"/>
  <c r="CN22" i="1"/>
  <c r="CN23" i="1"/>
  <c r="N29" i="1"/>
  <c r="M14" i="19" s="1"/>
  <c r="BZ29" i="1"/>
  <c r="CP29" i="1"/>
  <c r="CH29" i="1"/>
  <c r="BN29" i="1"/>
  <c r="BX29" i="1"/>
  <c r="BF29" i="1"/>
  <c r="BW29" i="1"/>
  <c r="BP29" i="1"/>
  <c r="AY29" i="1"/>
  <c r="BI29" i="1"/>
  <c r="BY29" i="1"/>
  <c r="BJ29" i="1"/>
  <c r="BH29" i="1"/>
  <c r="BA29" i="1"/>
  <c r="BQ29" i="1"/>
  <c r="F29" i="1"/>
  <c r="E14" i="19" s="1"/>
  <c r="BG29" i="1"/>
  <c r="BR29" i="1"/>
  <c r="V29" i="1"/>
  <c r="U14" i="19" s="1"/>
  <c r="AZ29" i="1"/>
  <c r="BO29" i="1"/>
  <c r="AX29" i="1"/>
  <c r="BB29" i="1"/>
  <c r="AD29" i="1"/>
  <c r="AC14" i="19" s="1"/>
  <c r="AL29" i="1"/>
  <c r="AK14" i="19" s="1"/>
  <c r="AS22" i="1"/>
  <c r="AR7" i="19" s="1"/>
  <c r="AS23" i="1"/>
  <c r="AR8" i="19" s="1"/>
  <c r="AT29" i="1"/>
  <c r="AS14" i="19" s="1"/>
  <c r="E29" i="1"/>
  <c r="D14" i="19" s="1"/>
  <c r="AC29" i="1"/>
  <c r="AB14" i="19" s="1"/>
  <c r="M29" i="1"/>
  <c r="L14" i="19" s="1"/>
  <c r="U29" i="1"/>
  <c r="T14" i="19" s="1"/>
  <c r="AK29" i="1" l="1"/>
  <c r="AJ14" i="19" s="1"/>
  <c r="CO23" i="1"/>
  <c r="CO24" i="1" s="1"/>
  <c r="CO29" i="1" s="1"/>
  <c r="CM23" i="1"/>
  <c r="CM24" i="1" s="1"/>
  <c r="CM29" i="1" s="1"/>
  <c r="CG24" i="1"/>
  <c r="CG29" i="1" s="1"/>
  <c r="CN24" i="1"/>
  <c r="CN29" i="1" s="1"/>
  <c r="CL22" i="1"/>
  <c r="CL23" i="1"/>
  <c r="AS24" i="1"/>
  <c r="AS29" i="1" l="1"/>
  <c r="AR14" i="19" s="1"/>
  <c r="AR9" i="19"/>
  <c r="CL24" i="1"/>
  <c r="CL29" i="1" s="1"/>
  <c r="C21" i="18"/>
  <c r="C16" i="18" l="1"/>
  <c r="C8" i="18" s="1"/>
  <c r="O20" i="18"/>
  <c r="O19" i="18"/>
  <c r="O18" i="18"/>
  <c r="O17" i="18"/>
  <c r="O16" i="18"/>
  <c r="I16" i="18"/>
  <c r="O15" i="18"/>
  <c r="O14" i="18"/>
  <c r="O13" i="18"/>
  <c r="O12" i="18"/>
  <c r="O11" i="18"/>
  <c r="O10" i="18"/>
  <c r="O9" i="18"/>
  <c r="O8" i="18"/>
  <c r="O7" i="18"/>
  <c r="O6" i="18"/>
  <c r="C2" i="17"/>
  <c r="D47" i="17" s="1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P76" i="17"/>
  <c r="O76" i="17"/>
  <c r="N76" i="17"/>
  <c r="F76" i="17"/>
  <c r="AE76" i="17" s="1"/>
  <c r="AG76" i="17" s="1"/>
  <c r="P75" i="17"/>
  <c r="O75" i="17"/>
  <c r="N75" i="17"/>
  <c r="F75" i="17"/>
  <c r="T75" i="17" s="1"/>
  <c r="P74" i="17"/>
  <c r="O74" i="17"/>
  <c r="N74" i="17"/>
  <c r="F74" i="17"/>
  <c r="T74" i="17" s="1"/>
  <c r="P73" i="17"/>
  <c r="O73" i="17"/>
  <c r="N73" i="17"/>
  <c r="F73" i="17"/>
  <c r="AE73" i="17" s="1"/>
  <c r="AG73" i="17" s="1"/>
  <c r="P72" i="17"/>
  <c r="O72" i="17"/>
  <c r="N72" i="17"/>
  <c r="F72" i="17"/>
  <c r="AE72" i="17" s="1"/>
  <c r="AG72" i="17" s="1"/>
  <c r="P71" i="17"/>
  <c r="O71" i="17"/>
  <c r="N71" i="17"/>
  <c r="F71" i="17"/>
  <c r="T71" i="17" s="1"/>
  <c r="P70" i="17"/>
  <c r="O70" i="17"/>
  <c r="N70" i="17"/>
  <c r="F70" i="17"/>
  <c r="T70" i="17" s="1"/>
  <c r="P69" i="17"/>
  <c r="O69" i="17"/>
  <c r="N69" i="17"/>
  <c r="F69" i="17"/>
  <c r="AE69" i="17" s="1"/>
  <c r="AG69" i="17" s="1"/>
  <c r="P68" i="17"/>
  <c r="O68" i="17"/>
  <c r="N68" i="17"/>
  <c r="F68" i="17"/>
  <c r="AE68" i="17" s="1"/>
  <c r="AG68" i="17" s="1"/>
  <c r="P67" i="17"/>
  <c r="O67" i="17"/>
  <c r="N67" i="17"/>
  <c r="F67" i="17"/>
  <c r="T67" i="17" s="1"/>
  <c r="P66" i="17"/>
  <c r="O66" i="17"/>
  <c r="N66" i="17"/>
  <c r="F66" i="17"/>
  <c r="T66" i="17" s="1"/>
  <c r="P65" i="17"/>
  <c r="O65" i="17"/>
  <c r="N65" i="17"/>
  <c r="F65" i="17"/>
  <c r="AE65" i="17" s="1"/>
  <c r="AG65" i="17" s="1"/>
  <c r="P64" i="17"/>
  <c r="O64" i="17"/>
  <c r="N64" i="17"/>
  <c r="F64" i="17"/>
  <c r="T64" i="17" s="1"/>
  <c r="P63" i="17"/>
  <c r="O63" i="17"/>
  <c r="N63" i="17"/>
  <c r="F63" i="17"/>
  <c r="T63" i="17" s="1"/>
  <c r="P62" i="17"/>
  <c r="O62" i="17"/>
  <c r="N62" i="17"/>
  <c r="F62" i="17"/>
  <c r="T62" i="17" s="1"/>
  <c r="P58" i="17"/>
  <c r="O58" i="17"/>
  <c r="N58" i="17"/>
  <c r="F58" i="17"/>
  <c r="AE58" i="17" s="1"/>
  <c r="AG58" i="17" s="1"/>
  <c r="P57" i="17"/>
  <c r="O57" i="17"/>
  <c r="N57" i="17"/>
  <c r="F57" i="17"/>
  <c r="T57" i="17" s="1"/>
  <c r="P56" i="17"/>
  <c r="O56" i="17"/>
  <c r="N56" i="17"/>
  <c r="F56" i="17"/>
  <c r="T56" i="17" s="1"/>
  <c r="P55" i="17"/>
  <c r="O55" i="17"/>
  <c r="N55" i="17"/>
  <c r="F55" i="17"/>
  <c r="T55" i="17" s="1"/>
  <c r="P54" i="17"/>
  <c r="O54" i="17"/>
  <c r="N54" i="17"/>
  <c r="F54" i="17"/>
  <c r="AE54" i="17" s="1"/>
  <c r="AG54" i="17" s="1"/>
  <c r="P53" i="17"/>
  <c r="O53" i="17"/>
  <c r="N53" i="17"/>
  <c r="F53" i="17"/>
  <c r="AE53" i="17" s="1"/>
  <c r="AG53" i="17" s="1"/>
  <c r="P52" i="17"/>
  <c r="O52" i="17"/>
  <c r="N52" i="17"/>
  <c r="F52" i="17"/>
  <c r="T52" i="17" s="1"/>
  <c r="P51" i="17"/>
  <c r="O51" i="17"/>
  <c r="N51" i="17"/>
  <c r="F51" i="17"/>
  <c r="T51" i="17" s="1"/>
  <c r="P50" i="17"/>
  <c r="O50" i="17"/>
  <c r="N50" i="17"/>
  <c r="F50" i="17"/>
  <c r="AE50" i="17" s="1"/>
  <c r="AG50" i="17" s="1"/>
  <c r="P49" i="17"/>
  <c r="O49" i="17"/>
  <c r="N49" i="17"/>
  <c r="F49" i="17"/>
  <c r="AE49" i="17" s="1"/>
  <c r="AG49" i="17" s="1"/>
  <c r="P48" i="17"/>
  <c r="O48" i="17"/>
  <c r="N48" i="17"/>
  <c r="F48" i="17"/>
  <c r="T48" i="17" s="1"/>
  <c r="P47" i="17"/>
  <c r="O47" i="17"/>
  <c r="N47" i="17"/>
  <c r="F47" i="17"/>
  <c r="T47" i="17" s="1"/>
  <c r="P46" i="17"/>
  <c r="O46" i="17"/>
  <c r="N46" i="17"/>
  <c r="F46" i="17"/>
  <c r="AE46" i="17" s="1"/>
  <c r="AG46" i="17" s="1"/>
  <c r="P45" i="17"/>
  <c r="O45" i="17"/>
  <c r="N45" i="17"/>
  <c r="F45" i="17"/>
  <c r="AE45" i="17" s="1"/>
  <c r="AG45" i="17" s="1"/>
  <c r="P44" i="17"/>
  <c r="O44" i="17"/>
  <c r="N44" i="17"/>
  <c r="F44" i="17"/>
  <c r="T44" i="17" s="1"/>
  <c r="F40" i="17"/>
  <c r="T40" i="17" s="1"/>
  <c r="F39" i="17"/>
  <c r="AE39" i="17" s="1"/>
  <c r="F38" i="17"/>
  <c r="AE38" i="17" s="1"/>
  <c r="F37" i="17"/>
  <c r="AE37" i="17" s="1"/>
  <c r="F36" i="17"/>
  <c r="T36" i="17" s="1"/>
  <c r="F35" i="17"/>
  <c r="AE35" i="17" s="1"/>
  <c r="F34" i="17"/>
  <c r="AE34" i="17" s="1"/>
  <c r="F33" i="17"/>
  <c r="T33" i="17" s="1"/>
  <c r="F32" i="17"/>
  <c r="T32" i="17" s="1"/>
  <c r="F31" i="17"/>
  <c r="F30" i="17"/>
  <c r="AE30" i="17" s="1"/>
  <c r="F29" i="17"/>
  <c r="T29" i="17" s="1"/>
  <c r="F28" i="17"/>
  <c r="T28" i="17" s="1"/>
  <c r="F27" i="17"/>
  <c r="T27" i="17" s="1"/>
  <c r="F26" i="17"/>
  <c r="AE26" i="17" s="1"/>
  <c r="E22" i="17"/>
  <c r="C22" i="17"/>
  <c r="E21" i="17"/>
  <c r="C21" i="17"/>
  <c r="E20" i="17"/>
  <c r="C20" i="17"/>
  <c r="E19" i="17"/>
  <c r="C19" i="17"/>
  <c r="E18" i="17"/>
  <c r="C18" i="17"/>
  <c r="E17" i="17"/>
  <c r="C17" i="17"/>
  <c r="E16" i="17"/>
  <c r="C16" i="17"/>
  <c r="E15" i="17"/>
  <c r="C15" i="17"/>
  <c r="E14" i="17"/>
  <c r="C14" i="17"/>
  <c r="E13" i="17"/>
  <c r="C13" i="17"/>
  <c r="E12" i="17"/>
  <c r="C12" i="17"/>
  <c r="E11" i="17"/>
  <c r="C11" i="17"/>
  <c r="E10" i="17"/>
  <c r="C10" i="17"/>
  <c r="E9" i="17"/>
  <c r="C9" i="17"/>
  <c r="E8" i="17"/>
  <c r="C8" i="17"/>
  <c r="T31" i="17" l="1"/>
  <c r="AE56" i="17"/>
  <c r="AG56" i="17" s="1"/>
  <c r="T69" i="17"/>
  <c r="AE66" i="17"/>
  <c r="AG66" i="17" s="1"/>
  <c r="T26" i="17"/>
  <c r="AE70" i="17"/>
  <c r="AG70" i="17" s="1"/>
  <c r="AE31" i="17"/>
  <c r="AF31" i="17" s="1"/>
  <c r="T53" i="17"/>
  <c r="C19" i="18"/>
  <c r="D35" i="17"/>
  <c r="B17" i="17" s="1"/>
  <c r="D57" i="17"/>
  <c r="D40" i="17"/>
  <c r="B22" i="17" s="1"/>
  <c r="D27" i="17"/>
  <c r="B9" i="17" s="1"/>
  <c r="D44" i="17"/>
  <c r="R44" i="17" s="1"/>
  <c r="D65" i="17"/>
  <c r="R65" i="17" s="1"/>
  <c r="D39" i="17"/>
  <c r="R39" i="17" s="1"/>
  <c r="D31" i="17"/>
  <c r="R31" i="17" s="1"/>
  <c r="AE47" i="17"/>
  <c r="AG47" i="17" s="1"/>
  <c r="AE48" i="17"/>
  <c r="AG48" i="17" s="1"/>
  <c r="AE29" i="17"/>
  <c r="AF29" i="17" s="1"/>
  <c r="AE55" i="17"/>
  <c r="AG55" i="17" s="1"/>
  <c r="T49" i="17"/>
  <c r="T72" i="17"/>
  <c r="AE33" i="17"/>
  <c r="AF33" i="17" s="1"/>
  <c r="AE51" i="17"/>
  <c r="AG51" i="17" s="1"/>
  <c r="AE62" i="17"/>
  <c r="AG62" i="17" s="1"/>
  <c r="AE74" i="17"/>
  <c r="AG74" i="17" s="1"/>
  <c r="T65" i="17"/>
  <c r="T73" i="17"/>
  <c r="AE27" i="17"/>
  <c r="AF27" i="17" s="1"/>
  <c r="AE44" i="17"/>
  <c r="AG44" i="17" s="1"/>
  <c r="AE52" i="17"/>
  <c r="AG52" i="17" s="1"/>
  <c r="AE63" i="17"/>
  <c r="AG63" i="17" s="1"/>
  <c r="T45" i="17"/>
  <c r="T68" i="17"/>
  <c r="T76" i="17"/>
  <c r="T38" i="17"/>
  <c r="AF30" i="17"/>
  <c r="AG30" i="17"/>
  <c r="AF35" i="17"/>
  <c r="AG35" i="17"/>
  <c r="AF37" i="17"/>
  <c r="AG37" i="17"/>
  <c r="AF34" i="17"/>
  <c r="AG34" i="17"/>
  <c r="AF39" i="17"/>
  <c r="AG39" i="17"/>
  <c r="AF38" i="17"/>
  <c r="AG38" i="17"/>
  <c r="AF26" i="17"/>
  <c r="AG26" i="17"/>
  <c r="AE67" i="17"/>
  <c r="AG67" i="17" s="1"/>
  <c r="T46" i="17"/>
  <c r="T58" i="17"/>
  <c r="T34" i="17"/>
  <c r="AE57" i="17"/>
  <c r="AG57" i="17" s="1"/>
  <c r="AE64" i="17"/>
  <c r="AG64" i="17" s="1"/>
  <c r="T35" i="17"/>
  <c r="T39" i="17"/>
  <c r="T37" i="17"/>
  <c r="AE71" i="17"/>
  <c r="AG71" i="17" s="1"/>
  <c r="AE75" i="17"/>
  <c r="AG75" i="17" s="1"/>
  <c r="T50" i="17"/>
  <c r="T54" i="17"/>
  <c r="T30" i="17"/>
  <c r="AE28" i="17"/>
  <c r="AE32" i="17"/>
  <c r="AE36" i="17"/>
  <c r="AE40" i="17"/>
  <c r="C6" i="18"/>
  <c r="C14" i="18"/>
  <c r="C12" i="18"/>
  <c r="C10" i="18"/>
  <c r="C18" i="18"/>
  <c r="C20" i="18"/>
  <c r="C7" i="18"/>
  <c r="C9" i="18"/>
  <c r="C11" i="18"/>
  <c r="C13" i="18"/>
  <c r="C15" i="18"/>
  <c r="C17" i="18"/>
  <c r="R47" i="17"/>
  <c r="AF65" i="17"/>
  <c r="AH65" i="17" s="1"/>
  <c r="AF68" i="17"/>
  <c r="AH68" i="17" s="1"/>
  <c r="AF69" i="17"/>
  <c r="AH69" i="17" s="1"/>
  <c r="AF72" i="17"/>
  <c r="AH72" i="17" s="1"/>
  <c r="AF73" i="17"/>
  <c r="AH73" i="17" s="1"/>
  <c r="AF76" i="17"/>
  <c r="AH76" i="17" s="1"/>
  <c r="AF45" i="17"/>
  <c r="AH45" i="17" s="1"/>
  <c r="AF46" i="17"/>
  <c r="AH46" i="17" s="1"/>
  <c r="AF49" i="17"/>
  <c r="AH49" i="17" s="1"/>
  <c r="AF50" i="17"/>
  <c r="AH50" i="17" s="1"/>
  <c r="AF53" i="17"/>
  <c r="AH53" i="17" s="1"/>
  <c r="AF54" i="17"/>
  <c r="AH54" i="17" s="1"/>
  <c r="AF58" i="17"/>
  <c r="AH58" i="17" s="1"/>
  <c r="S47" i="17"/>
  <c r="D28" i="17"/>
  <c r="D32" i="17"/>
  <c r="D36" i="17"/>
  <c r="D75" i="17"/>
  <c r="R75" i="17" s="1"/>
  <c r="D71" i="17"/>
  <c r="R71" i="17" s="1"/>
  <c r="D67" i="17"/>
  <c r="R67" i="17" s="1"/>
  <c r="D63" i="17"/>
  <c r="R63" i="17" s="1"/>
  <c r="D74" i="17"/>
  <c r="R74" i="17" s="1"/>
  <c r="D70" i="17"/>
  <c r="R70" i="17" s="1"/>
  <c r="D66" i="17"/>
  <c r="D73" i="17"/>
  <c r="R73" i="17" s="1"/>
  <c r="D58" i="17"/>
  <c r="R58" i="17" s="1"/>
  <c r="D72" i="17"/>
  <c r="R72" i="17" s="1"/>
  <c r="D69" i="17"/>
  <c r="R69" i="17" s="1"/>
  <c r="D64" i="17"/>
  <c r="R64" i="17" s="1"/>
  <c r="D56" i="17"/>
  <c r="D52" i="17"/>
  <c r="S52" i="17" s="1"/>
  <c r="D76" i="17"/>
  <c r="D54" i="17"/>
  <c r="R54" i="17" s="1"/>
  <c r="D68" i="17"/>
  <c r="D51" i="17"/>
  <c r="D50" i="17"/>
  <c r="D46" i="17"/>
  <c r="R46" i="17" s="1"/>
  <c r="D55" i="17"/>
  <c r="R55" i="17" s="1"/>
  <c r="D49" i="17"/>
  <c r="S49" i="17" s="1"/>
  <c r="D45" i="17"/>
  <c r="D29" i="17"/>
  <c r="D33" i="17"/>
  <c r="D37" i="17"/>
  <c r="D48" i="17"/>
  <c r="R48" i="17" s="1"/>
  <c r="D62" i="17"/>
  <c r="D26" i="17"/>
  <c r="R26" i="17" s="1"/>
  <c r="D30" i="17"/>
  <c r="R30" i="17" s="1"/>
  <c r="D34" i="17"/>
  <c r="R34" i="17" s="1"/>
  <c r="D38" i="17"/>
  <c r="D53" i="17"/>
  <c r="R53" i="17" s="1"/>
  <c r="AF56" i="17" l="1"/>
  <c r="AH56" i="17" s="1"/>
  <c r="AG29" i="17"/>
  <c r="AH29" i="17" s="1"/>
  <c r="AF47" i="17"/>
  <c r="AH47" i="17" s="1"/>
  <c r="AF62" i="17"/>
  <c r="AH62" i="17" s="1"/>
  <c r="AF70" i="17"/>
  <c r="AH70" i="17" s="1"/>
  <c r="S63" i="17"/>
  <c r="R35" i="17"/>
  <c r="AF52" i="17"/>
  <c r="AH52" i="17" s="1"/>
  <c r="AF63" i="17"/>
  <c r="AH63" i="17" s="1"/>
  <c r="AF66" i="17"/>
  <c r="AH66" i="17" s="1"/>
  <c r="AF75" i="17"/>
  <c r="AH75" i="17" s="1"/>
  <c r="AG33" i="17"/>
  <c r="AH33" i="17" s="1"/>
  <c r="AF48" i="17"/>
  <c r="AH48" i="17" s="1"/>
  <c r="AF44" i="17"/>
  <c r="AH44" i="17" s="1"/>
  <c r="AF74" i="17"/>
  <c r="AH74" i="17" s="1"/>
  <c r="AG31" i="17"/>
  <c r="AH31" i="17" s="1"/>
  <c r="S57" i="17"/>
  <c r="R57" i="17"/>
  <c r="S65" i="17"/>
  <c r="B21" i="17"/>
  <c r="R40" i="17"/>
  <c r="R27" i="17"/>
  <c r="S74" i="17"/>
  <c r="S55" i="17"/>
  <c r="S44" i="17"/>
  <c r="B13" i="17"/>
  <c r="AF55" i="17"/>
  <c r="AH55" i="17" s="1"/>
  <c r="AF51" i="17"/>
  <c r="AH51" i="17" s="1"/>
  <c r="AG27" i="17"/>
  <c r="AH27" i="17" s="1"/>
  <c r="P27" i="17" s="1"/>
  <c r="AF28" i="17"/>
  <c r="AG28" i="17"/>
  <c r="AF64" i="17"/>
  <c r="AH64" i="17" s="1"/>
  <c r="AF40" i="17"/>
  <c r="AG40" i="17"/>
  <c r="AH34" i="17"/>
  <c r="P34" i="17" s="1"/>
  <c r="O34" i="17" s="1"/>
  <c r="AF57" i="17"/>
  <c r="AH57" i="17" s="1"/>
  <c r="AF71" i="17"/>
  <c r="AH71" i="17" s="1"/>
  <c r="AF67" i="17"/>
  <c r="AH67" i="17" s="1"/>
  <c r="AF36" i="17"/>
  <c r="AG36" i="17"/>
  <c r="AH38" i="17"/>
  <c r="P38" i="17" s="1"/>
  <c r="AH35" i="17"/>
  <c r="P35" i="17" s="1"/>
  <c r="AF32" i="17"/>
  <c r="AG32" i="17"/>
  <c r="AH26" i="17"/>
  <c r="P26" i="17" s="1"/>
  <c r="O26" i="17" s="1"/>
  <c r="AH39" i="17"/>
  <c r="P39" i="17" s="1"/>
  <c r="O39" i="17" s="1"/>
  <c r="AH37" i="17"/>
  <c r="AH30" i="17"/>
  <c r="P30" i="17" s="1"/>
  <c r="O30" i="17" s="1"/>
  <c r="S73" i="17"/>
  <c r="R49" i="17"/>
  <c r="R52" i="17"/>
  <c r="S70" i="17"/>
  <c r="S51" i="17"/>
  <c r="B15" i="17"/>
  <c r="R33" i="17"/>
  <c r="R68" i="17"/>
  <c r="S56" i="17"/>
  <c r="R56" i="17"/>
  <c r="B14" i="17"/>
  <c r="R32" i="17"/>
  <c r="B11" i="17"/>
  <c r="R29" i="17"/>
  <c r="B10" i="17"/>
  <c r="R28" i="17"/>
  <c r="R62" i="17"/>
  <c r="B19" i="17"/>
  <c r="R37" i="17"/>
  <c r="R51" i="17"/>
  <c r="B20" i="17"/>
  <c r="R38" i="17"/>
  <c r="R45" i="17"/>
  <c r="R50" i="17"/>
  <c r="S76" i="17"/>
  <c r="R76" i="17"/>
  <c r="R66" i="17"/>
  <c r="B18" i="17"/>
  <c r="R36" i="17"/>
  <c r="S67" i="17"/>
  <c r="S50" i="17"/>
  <c r="S66" i="17"/>
  <c r="S72" i="17"/>
  <c r="S45" i="17"/>
  <c r="S71" i="17"/>
  <c r="S69" i="17"/>
  <c r="B16" i="17"/>
  <c r="S48" i="17"/>
  <c r="S68" i="17"/>
  <c r="S58" i="17"/>
  <c r="S75" i="17"/>
  <c r="S46" i="17"/>
  <c r="B8" i="17"/>
  <c r="S62" i="17"/>
  <c r="B12" i="17"/>
  <c r="S54" i="17"/>
  <c r="S64" i="17"/>
  <c r="S53" i="17"/>
  <c r="AH36" i="17" l="1"/>
  <c r="P36" i="17" s="1"/>
  <c r="O36" i="17" s="1"/>
  <c r="S36" i="17" s="1"/>
  <c r="O35" i="17"/>
  <c r="P31" i="17"/>
  <c r="O31" i="17" s="1"/>
  <c r="S31" i="17" s="1"/>
  <c r="O27" i="17"/>
  <c r="S26" i="17"/>
  <c r="O38" i="17"/>
  <c r="AH28" i="17"/>
  <c r="P28" i="17" s="1"/>
  <c r="O28" i="17" s="1"/>
  <c r="AH32" i="17"/>
  <c r="P32" i="17" s="1"/>
  <c r="O32" i="17" s="1"/>
  <c r="AH40" i="17"/>
  <c r="P40" i="17" s="1"/>
  <c r="O40" i="17" s="1"/>
  <c r="S34" i="17"/>
  <c r="S30" i="17"/>
  <c r="S39" i="17"/>
  <c r="P37" i="17"/>
  <c r="O37" i="17" s="1"/>
  <c r="P29" i="17"/>
  <c r="O29" i="17" s="1"/>
  <c r="P33" i="17"/>
  <c r="O33" i="17" s="1"/>
  <c r="S35" i="17" l="1"/>
  <c r="S27" i="17"/>
  <c r="S38" i="17"/>
  <c r="S40" i="17"/>
  <c r="S28" i="17"/>
  <c r="S37" i="17"/>
  <c r="S29" i="17"/>
  <c r="S32" i="17"/>
  <c r="S33" i="17"/>
  <c r="AR44" i="1" l="1"/>
  <c r="AQ29" i="19" s="1"/>
  <c r="AR43" i="1"/>
  <c r="AQ28" i="19" s="1"/>
  <c r="AR39" i="1"/>
  <c r="AQ24" i="19" s="1"/>
  <c r="AR38" i="1"/>
  <c r="AQ23" i="19" s="1"/>
  <c r="AR21" i="1"/>
  <c r="AQ44" i="1"/>
  <c r="AP29" i="19" s="1"/>
  <c r="AQ43" i="1"/>
  <c r="AP28" i="19" s="1"/>
  <c r="AQ39" i="1"/>
  <c r="AP24" i="19" s="1"/>
  <c r="AQ38" i="1"/>
  <c r="AP23" i="19" s="1"/>
  <c r="AQ21" i="1"/>
  <c r="AP44" i="1"/>
  <c r="AO29" i="19" s="1"/>
  <c r="AP43" i="1"/>
  <c r="AO28" i="19" s="1"/>
  <c r="AP39" i="1"/>
  <c r="AO24" i="19" s="1"/>
  <c r="AP38" i="1"/>
  <c r="AO23" i="19" s="1"/>
  <c r="AP21" i="1"/>
  <c r="AP22" i="1" l="1"/>
  <c r="AO7" i="19" s="1"/>
  <c r="AO6" i="19"/>
  <c r="AR23" i="1"/>
  <c r="AQ8" i="19" s="1"/>
  <c r="AQ6" i="19"/>
  <c r="AQ22" i="1"/>
  <c r="AP7" i="19" s="1"/>
  <c r="AP6" i="19"/>
  <c r="AP23" i="1"/>
  <c r="AQ23" i="1"/>
  <c r="AR22" i="1"/>
  <c r="AP24" i="1" l="1"/>
  <c r="AO8" i="19"/>
  <c r="AQ24" i="1"/>
  <c r="AP8" i="19"/>
  <c r="AR24" i="1"/>
  <c r="AQ7" i="19"/>
  <c r="D41" i="12"/>
  <c r="E34" i="12"/>
  <c r="D34" i="12" s="1"/>
  <c r="E33" i="12"/>
  <c r="D33" i="12" s="1"/>
  <c r="H45" i="12"/>
  <c r="H44" i="12"/>
  <c r="C27" i="12" s="1"/>
  <c r="AR29" i="1" l="1"/>
  <c r="AQ14" i="19" s="1"/>
  <c r="AQ9" i="19"/>
  <c r="AQ29" i="1"/>
  <c r="AP14" i="19" s="1"/>
  <c r="AP9" i="19"/>
  <c r="AP29" i="1"/>
  <c r="AO14" i="19" s="1"/>
  <c r="AO9" i="19"/>
  <c r="D44" i="12"/>
  <c r="D42" i="12"/>
  <c r="H19" i="12" l="1"/>
  <c r="H72" i="12"/>
  <c r="L47" i="12"/>
  <c r="L51" i="12"/>
  <c r="L46" i="12"/>
  <c r="L48" i="12"/>
  <c r="L50" i="12"/>
  <c r="L52" i="12"/>
  <c r="L45" i="12"/>
  <c r="L49" i="12"/>
  <c r="L53" i="12"/>
  <c r="B1" i="1" l="1"/>
  <c r="CK26" i="1" l="1"/>
  <c r="CJ26" i="1"/>
  <c r="CS26" i="1"/>
  <c r="CS35" i="1" s="1"/>
  <c r="CR26" i="1"/>
  <c r="BT26" i="1"/>
  <c r="CB26" i="1"/>
  <c r="BU26" i="1"/>
  <c r="BU35" i="1" s="1"/>
  <c r="CC26" i="1"/>
  <c r="CC35" i="1" s="1"/>
  <c r="CD26" i="1"/>
  <c r="BM26" i="1"/>
  <c r="BM35" i="1" s="1"/>
  <c r="BL26" i="1"/>
  <c r="BE26" i="1"/>
  <c r="BE35" i="1" s="1"/>
  <c r="Q26" i="1"/>
  <c r="AW26" i="1"/>
  <c r="AW35" i="1" s="1"/>
  <c r="AV26" i="1"/>
  <c r="AN26" i="1"/>
  <c r="X26" i="1"/>
  <c r="P26" i="1"/>
  <c r="BD26" i="1"/>
  <c r="AF26" i="1"/>
  <c r="Y26" i="1"/>
  <c r="AO26" i="1"/>
  <c r="AG26" i="1"/>
  <c r="I26" i="1"/>
  <c r="H26" i="1"/>
  <c r="CO26" i="1"/>
  <c r="CN26" i="1"/>
  <c r="CM26" i="1"/>
  <c r="CQ26" i="1"/>
  <c r="CL26" i="1"/>
  <c r="CP26" i="1"/>
  <c r="CF26" i="1"/>
  <c r="CE26" i="1"/>
  <c r="CH26" i="1"/>
  <c r="CG26" i="1"/>
  <c r="CI26" i="1"/>
  <c r="BX26" i="1"/>
  <c r="BY26" i="1"/>
  <c r="BW26" i="1"/>
  <c r="BV26" i="1"/>
  <c r="BZ26" i="1"/>
  <c r="CA26" i="1"/>
  <c r="BO26" i="1"/>
  <c r="BN26" i="1"/>
  <c r="BS26" i="1"/>
  <c r="BR26" i="1"/>
  <c r="BQ26" i="1"/>
  <c r="BP26" i="1"/>
  <c r="BJ26" i="1"/>
  <c r="BK26" i="1"/>
  <c r="BH26" i="1"/>
  <c r="BI26" i="1"/>
  <c r="BG26" i="1"/>
  <c r="BF26" i="1"/>
  <c r="BB26" i="1"/>
  <c r="BA26" i="1"/>
  <c r="AZ26" i="1"/>
  <c r="BC26" i="1"/>
  <c r="AY26" i="1"/>
  <c r="AX26" i="1"/>
  <c r="AT26" i="1"/>
  <c r="AS11" i="19" s="1"/>
  <c r="AU26" i="1"/>
  <c r="AT11" i="19" s="1"/>
  <c r="AL26" i="1"/>
  <c r="AK11" i="19" s="1"/>
  <c r="AM26" i="1"/>
  <c r="AL11" i="19" s="1"/>
  <c r="AE26" i="1"/>
  <c r="AD11" i="19" s="1"/>
  <c r="AD26" i="1"/>
  <c r="AC11" i="19" s="1"/>
  <c r="W26" i="1"/>
  <c r="V11" i="19" s="1"/>
  <c r="V26" i="1"/>
  <c r="U11" i="19" s="1"/>
  <c r="O26" i="1"/>
  <c r="N11" i="19" s="1"/>
  <c r="N26" i="1"/>
  <c r="M11" i="19" s="1"/>
  <c r="G26" i="1"/>
  <c r="F11" i="19" s="1"/>
  <c r="F26" i="1"/>
  <c r="E11" i="19" s="1"/>
  <c r="U26" i="1"/>
  <c r="T11" i="19" s="1"/>
  <c r="AS26" i="1"/>
  <c r="AR11" i="19" s="1"/>
  <c r="AC26" i="1"/>
  <c r="AB11" i="19" s="1"/>
  <c r="AK26" i="1"/>
  <c r="AJ11" i="19" s="1"/>
  <c r="E26" i="1"/>
  <c r="D11" i="19" s="1"/>
  <c r="M26" i="1"/>
  <c r="L11" i="19" s="1"/>
  <c r="AP26" i="1"/>
  <c r="AO11" i="19" s="1"/>
  <c r="AQ26" i="1"/>
  <c r="AP11" i="19" s="1"/>
  <c r="AR26" i="1"/>
  <c r="AQ11" i="19" s="1"/>
  <c r="AG35" i="1" l="1"/>
  <c r="AF20" i="19" s="1"/>
  <c r="AF11" i="19"/>
  <c r="AU11" i="19"/>
  <c r="AO35" i="1"/>
  <c r="AN20" i="19" s="1"/>
  <c r="AN11" i="19"/>
  <c r="AV20" i="19"/>
  <c r="AV11" i="19"/>
  <c r="I35" i="1"/>
  <c r="H20" i="19" s="1"/>
  <c r="H11" i="19"/>
  <c r="Y35" i="1"/>
  <c r="X20" i="19" s="1"/>
  <c r="X11" i="19"/>
  <c r="Q35" i="1"/>
  <c r="P20" i="19" s="1"/>
  <c r="P11" i="19"/>
  <c r="AE11" i="19"/>
  <c r="AM11" i="19"/>
  <c r="O11" i="19"/>
  <c r="G11" i="19"/>
  <c r="W11" i="19"/>
  <c r="CS51" i="1"/>
  <c r="CS50" i="1"/>
  <c r="CS49" i="1"/>
  <c r="CS53" i="1"/>
  <c r="CS52" i="1"/>
  <c r="CK52" i="1"/>
  <c r="CK49" i="1"/>
  <c r="CK51" i="1"/>
  <c r="CK35" i="1"/>
  <c r="CK50" i="1"/>
  <c r="CK53" i="1"/>
  <c r="CC53" i="1"/>
  <c r="CC52" i="1"/>
  <c r="CC50" i="1"/>
  <c r="CC51" i="1"/>
  <c r="CC49" i="1"/>
  <c r="BU49" i="1"/>
  <c r="BU52" i="1"/>
  <c r="BU53" i="1"/>
  <c r="BU50" i="1"/>
  <c r="BU51" i="1"/>
  <c r="BM53" i="1"/>
  <c r="BM52" i="1"/>
  <c r="BM49" i="1"/>
  <c r="BM51" i="1"/>
  <c r="BM50" i="1"/>
  <c r="AW50" i="1"/>
  <c r="AV35" i="19" s="1"/>
  <c r="AW53" i="1"/>
  <c r="AV38" i="19" s="1"/>
  <c r="AW52" i="1"/>
  <c r="AV37" i="19" s="1"/>
  <c r="AW51" i="1"/>
  <c r="AV36" i="19" s="1"/>
  <c r="AW49" i="1"/>
  <c r="AV34" i="19" s="1"/>
  <c r="AO53" i="1"/>
  <c r="AN38" i="19" s="1"/>
  <c r="AO52" i="1"/>
  <c r="AN37" i="19" s="1"/>
  <c r="AO51" i="1"/>
  <c r="AN36" i="19" s="1"/>
  <c r="AO50" i="1"/>
  <c r="AN35" i="19" s="1"/>
  <c r="AO49" i="1"/>
  <c r="AN34" i="19" s="1"/>
  <c r="Y50" i="1"/>
  <c r="X35" i="19" s="1"/>
  <c r="Y52" i="1"/>
  <c r="X37" i="19" s="1"/>
  <c r="Y51" i="1"/>
  <c r="X36" i="19" s="1"/>
  <c r="Y53" i="1"/>
  <c r="X38" i="19" s="1"/>
  <c r="Y49" i="1"/>
  <c r="X34" i="19" s="1"/>
  <c r="AG53" i="1"/>
  <c r="AF38" i="19" s="1"/>
  <c r="AG50" i="1"/>
  <c r="AF35" i="19" s="1"/>
  <c r="AG52" i="1"/>
  <c r="AF37" i="19" s="1"/>
  <c r="AG51" i="1"/>
  <c r="AF36" i="19" s="1"/>
  <c r="AG49" i="1"/>
  <c r="AF34" i="19" s="1"/>
  <c r="Q53" i="1"/>
  <c r="P38" i="19" s="1"/>
  <c r="Q52" i="1"/>
  <c r="P37" i="19" s="1"/>
  <c r="Q51" i="1"/>
  <c r="P36" i="19" s="1"/>
  <c r="Q50" i="1"/>
  <c r="P35" i="19" s="1"/>
  <c r="Q49" i="1"/>
  <c r="P34" i="19" s="1"/>
  <c r="BE49" i="1"/>
  <c r="BE53" i="1"/>
  <c r="BE50" i="1"/>
  <c r="BE52" i="1"/>
  <c r="BE51" i="1"/>
  <c r="I52" i="1"/>
  <c r="H37" i="19" s="1"/>
  <c r="I53" i="1"/>
  <c r="H38" i="19" s="1"/>
  <c r="I49" i="1"/>
  <c r="H34" i="19" s="1"/>
  <c r="I50" i="1"/>
  <c r="H35" i="19" s="1"/>
  <c r="I51" i="1"/>
  <c r="H36" i="19" s="1"/>
  <c r="B2" i="1"/>
  <c r="CK19" i="1" l="1"/>
  <c r="CK32" i="1" s="1"/>
  <c r="CJ19" i="1"/>
  <c r="CJ32" i="1" s="1"/>
  <c r="CS19" i="1"/>
  <c r="CS32" i="1" s="1"/>
  <c r="CR19" i="1"/>
  <c r="CR32" i="1" s="1"/>
  <c r="CC19" i="1"/>
  <c r="CC32" i="1" s="1"/>
  <c r="BU19" i="1"/>
  <c r="BU32" i="1" s="1"/>
  <c r="CB19" i="1"/>
  <c r="CB32" i="1" s="1"/>
  <c r="BT19" i="1"/>
  <c r="BT32" i="1" s="1"/>
  <c r="CD19" i="1"/>
  <c r="CD32" i="1" s="1"/>
  <c r="X19" i="1"/>
  <c r="AW19" i="1"/>
  <c r="AV19" i="1"/>
  <c r="Y19" i="1"/>
  <c r="AF19" i="1"/>
  <c r="AG19" i="1"/>
  <c r="CO19" i="1"/>
  <c r="CO32" i="1" s="1"/>
  <c r="CN19" i="1"/>
  <c r="CN32" i="1" s="1"/>
  <c r="CM19" i="1"/>
  <c r="CM32" i="1" s="1"/>
  <c r="CL19" i="1"/>
  <c r="CL32" i="1" s="1"/>
  <c r="CQ19" i="1"/>
  <c r="CQ32" i="1" s="1"/>
  <c r="CP19" i="1"/>
  <c r="CP32" i="1" s="1"/>
  <c r="CE19" i="1"/>
  <c r="CG19" i="1"/>
  <c r="CG32" i="1" s="1"/>
  <c r="CF19" i="1"/>
  <c r="CF32" i="1" s="1"/>
  <c r="CH19" i="1"/>
  <c r="CH32" i="1" s="1"/>
  <c r="CI19" i="1"/>
  <c r="CI32" i="1" s="1"/>
  <c r="BY19" i="1"/>
  <c r="BY32" i="1" s="1"/>
  <c r="BZ19" i="1"/>
  <c r="BX19" i="1"/>
  <c r="BX32" i="1" s="1"/>
  <c r="BW19" i="1"/>
  <c r="BW32" i="1" s="1"/>
  <c r="CA19" i="1"/>
  <c r="BV19" i="1"/>
  <c r="BV32" i="1" s="1"/>
  <c r="BN19" i="1"/>
  <c r="BN32" i="1" s="1"/>
  <c r="BS19" i="1"/>
  <c r="BS32" i="1" s="1"/>
  <c r="BR19" i="1"/>
  <c r="BQ19" i="1"/>
  <c r="BQ32" i="1" s="1"/>
  <c r="BO19" i="1"/>
  <c r="BO32" i="1" s="1"/>
  <c r="BP19" i="1"/>
  <c r="BP32" i="1" s="1"/>
  <c r="AU19" i="1"/>
  <c r="AT19" i="1"/>
  <c r="AE19" i="1"/>
  <c r="AD19" i="1"/>
  <c r="W19" i="1"/>
  <c r="V19" i="1"/>
  <c r="AC19" i="1"/>
  <c r="AS19" i="1"/>
  <c r="U19" i="1"/>
  <c r="AR19" i="1"/>
  <c r="AP19" i="1"/>
  <c r="AO4" i="19" s="1"/>
  <c r="AQ19" i="1"/>
  <c r="B21" i="1"/>
  <c r="CA32" i="1" l="1"/>
  <c r="B22" i="1"/>
  <c r="A7" i="19" s="1"/>
  <c r="A6" i="19"/>
  <c r="AV32" i="1"/>
  <c r="AU17" i="19" s="1"/>
  <c r="AU4" i="19"/>
  <c r="X32" i="1"/>
  <c r="W17" i="19" s="1"/>
  <c r="W4" i="19"/>
  <c r="AC32" i="1"/>
  <c r="AB17" i="19" s="1"/>
  <c r="AB4" i="19"/>
  <c r="V32" i="1"/>
  <c r="U17" i="19" s="1"/>
  <c r="U4" i="19"/>
  <c r="AD32" i="1"/>
  <c r="AC17" i="19" s="1"/>
  <c r="AC4" i="19"/>
  <c r="F13" i="19"/>
  <c r="AT32" i="1"/>
  <c r="AS4" i="19"/>
  <c r="N13" i="19"/>
  <c r="W32" i="1"/>
  <c r="V17" i="19" s="1"/>
  <c r="V4" i="19"/>
  <c r="AE32" i="1"/>
  <c r="AD17" i="19" s="1"/>
  <c r="AD4" i="19"/>
  <c r="AL13" i="19"/>
  <c r="AT13" i="19"/>
  <c r="AD13" i="19"/>
  <c r="AU32" i="1"/>
  <c r="AT4" i="19"/>
  <c r="AG32" i="1"/>
  <c r="AF17" i="19" s="1"/>
  <c r="AF4" i="19"/>
  <c r="AO13" i="19"/>
  <c r="AW32" i="1"/>
  <c r="AV17" i="19" s="1"/>
  <c r="AV4" i="19"/>
  <c r="AQ13" i="19"/>
  <c r="AF32" i="1"/>
  <c r="AE17" i="19" s="1"/>
  <c r="AE4" i="19"/>
  <c r="V13" i="19"/>
  <c r="AP13" i="19"/>
  <c r="AQ32" i="1"/>
  <c r="AP4" i="19"/>
  <c r="U32" i="1"/>
  <c r="T17" i="19" s="1"/>
  <c r="T4" i="19"/>
  <c r="AR32" i="1"/>
  <c r="AQ4" i="19"/>
  <c r="AS32" i="1"/>
  <c r="AR4" i="19"/>
  <c r="Y32" i="1"/>
  <c r="X17" i="19" s="1"/>
  <c r="X4" i="19"/>
  <c r="CE32" i="1"/>
  <c r="BZ32" i="1"/>
  <c r="BR32" i="1"/>
  <c r="AP32" i="1"/>
  <c r="B28" i="6"/>
  <c r="AR17" i="19" l="1"/>
  <c r="AT17" i="19"/>
  <c r="AQ17" i="19"/>
  <c r="AS17" i="19"/>
  <c r="AP17" i="19"/>
  <c r="AO17" i="19"/>
  <c r="AU13" i="19"/>
  <c r="T13" i="19"/>
  <c r="H13" i="19"/>
  <c r="L13" i="19"/>
  <c r="AV13" i="19"/>
  <c r="G13" i="19"/>
  <c r="AB13" i="19"/>
  <c r="P13" i="19"/>
  <c r="AN13" i="19"/>
  <c r="D13" i="19"/>
  <c r="M13" i="19"/>
  <c r="AJ13" i="19"/>
  <c r="AS13" i="19"/>
  <c r="U13" i="19"/>
  <c r="AF13" i="19"/>
  <c r="E13" i="19"/>
  <c r="AE13" i="19"/>
  <c r="X13" i="19"/>
  <c r="W13" i="19"/>
  <c r="AC13" i="19"/>
  <c r="O13" i="19"/>
  <c r="AR13" i="19"/>
  <c r="AM13" i="19"/>
  <c r="AK13" i="19"/>
  <c r="E5" i="1" l="1"/>
  <c r="BE55" i="1" l="1"/>
  <c r="I55" i="1"/>
  <c r="H40" i="19" s="1"/>
  <c r="BM55" i="1"/>
  <c r="Y55" i="1"/>
  <c r="X40" i="19" s="1"/>
  <c r="BU55" i="1"/>
  <c r="Q55" i="1"/>
  <c r="P40" i="19" s="1"/>
  <c r="CC55" i="1"/>
  <c r="CK55" i="1"/>
  <c r="AO55" i="1"/>
  <c r="AN40" i="19" s="1"/>
  <c r="AG55" i="1"/>
  <c r="AF40" i="19" s="1"/>
  <c r="AU55" i="1"/>
  <c r="CN55" i="1"/>
  <c r="AV55" i="1"/>
  <c r="AU40" i="19" s="1"/>
  <c r="CP55" i="1"/>
  <c r="CL55" i="1"/>
  <c r="CS55" i="1"/>
  <c r="AW55" i="1"/>
  <c r="AV40" i="19" s="1"/>
  <c r="CM55" i="1"/>
  <c r="CQ55" i="1"/>
  <c r="CO55" i="1"/>
  <c r="CR55" i="1"/>
  <c r="AQ55" i="1"/>
  <c r="AR55" i="1"/>
  <c r="AP55" i="1"/>
  <c r="AO40" i="19" s="1"/>
  <c r="AS55" i="1"/>
  <c r="AT55" i="1"/>
  <c r="AR40" i="19" l="1"/>
  <c r="AU48" i="1"/>
  <c r="AT33" i="19" s="1"/>
  <c r="AT40" i="19"/>
  <c r="AQ40" i="19"/>
  <c r="AT48" i="1"/>
  <c r="AS33" i="19" s="1"/>
  <c r="AS40" i="19"/>
  <c r="AP40" i="19"/>
  <c r="CK48" i="1"/>
  <c r="CK58" i="1"/>
  <c r="CK56" i="1"/>
  <c r="CK61" i="1"/>
  <c r="CK60" i="1"/>
  <c r="CK59" i="1"/>
  <c r="CK62" i="1"/>
  <c r="CC48" i="1"/>
  <c r="CC56" i="1"/>
  <c r="CC59" i="1"/>
  <c r="CC61" i="1"/>
  <c r="CC58" i="1"/>
  <c r="CC60" i="1"/>
  <c r="CC62" i="1"/>
  <c r="CS48" i="1"/>
  <c r="CS56" i="1"/>
  <c r="CS58" i="1"/>
  <c r="CS59" i="1"/>
  <c r="CS62" i="1"/>
  <c r="CS61" i="1"/>
  <c r="CS60" i="1"/>
  <c r="CR48" i="1"/>
  <c r="BU48" i="1"/>
  <c r="BU56" i="1"/>
  <c r="BU58" i="1"/>
  <c r="BU62" i="1"/>
  <c r="BU61" i="1"/>
  <c r="BU60" i="1"/>
  <c r="BU59" i="1"/>
  <c r="BM48" i="1"/>
  <c r="BM58" i="1"/>
  <c r="BM56" i="1"/>
  <c r="BM59" i="1"/>
  <c r="BM61" i="1"/>
  <c r="BM60" i="1"/>
  <c r="BM62" i="1"/>
  <c r="AO48" i="1"/>
  <c r="AN33" i="19" s="1"/>
  <c r="AO58" i="1"/>
  <c r="AN43" i="19" s="1"/>
  <c r="AO56" i="1"/>
  <c r="AO61" i="1"/>
  <c r="AN46" i="19" s="1"/>
  <c r="AO62" i="1"/>
  <c r="AN47" i="19" s="1"/>
  <c r="AO60" i="1"/>
  <c r="AN45" i="19" s="1"/>
  <c r="AO59" i="1"/>
  <c r="AN44" i="19" s="1"/>
  <c r="BE48" i="1"/>
  <c r="BE61" i="1"/>
  <c r="BE56" i="1"/>
  <c r="BE58" i="1"/>
  <c r="BE59" i="1"/>
  <c r="BE60" i="1"/>
  <c r="BE62" i="1"/>
  <c r="AV48" i="1"/>
  <c r="AU33" i="19" s="1"/>
  <c r="Q48" i="1"/>
  <c r="P33" i="19" s="1"/>
  <c r="Q56" i="1"/>
  <c r="Q58" i="1"/>
  <c r="P43" i="19" s="1"/>
  <c r="Q62" i="1"/>
  <c r="P47" i="19" s="1"/>
  <c r="Q59" i="1"/>
  <c r="P44" i="19" s="1"/>
  <c r="Q60" i="1"/>
  <c r="P45" i="19" s="1"/>
  <c r="Q61" i="1"/>
  <c r="P46" i="19" s="1"/>
  <c r="Y48" i="1"/>
  <c r="X33" i="19" s="1"/>
  <c r="Y56" i="1"/>
  <c r="Y58" i="1"/>
  <c r="X43" i="19" s="1"/>
  <c r="Y62" i="1"/>
  <c r="X47" i="19" s="1"/>
  <c r="Y59" i="1"/>
  <c r="X44" i="19" s="1"/>
  <c r="Y61" i="1"/>
  <c r="X46" i="19" s="1"/>
  <c r="Y60" i="1"/>
  <c r="X45" i="19" s="1"/>
  <c r="AW48" i="1"/>
  <c r="AV33" i="19" s="1"/>
  <c r="AW58" i="1"/>
  <c r="AV43" i="19" s="1"/>
  <c r="AW56" i="1"/>
  <c r="AV41" i="19" s="1"/>
  <c r="AW59" i="1"/>
  <c r="AV44" i="19" s="1"/>
  <c r="AW62" i="1"/>
  <c r="AV47" i="19" s="1"/>
  <c r="AW60" i="1"/>
  <c r="AV45" i="19" s="1"/>
  <c r="AW61" i="1"/>
  <c r="AV46" i="19" s="1"/>
  <c r="AG48" i="1"/>
  <c r="AF33" i="19" s="1"/>
  <c r="AG56" i="1"/>
  <c r="AG58" i="1"/>
  <c r="AF43" i="19" s="1"/>
  <c r="AG59" i="1"/>
  <c r="AF44" i="19" s="1"/>
  <c r="AG60" i="1"/>
  <c r="AF45" i="19" s="1"/>
  <c r="AG61" i="1"/>
  <c r="AF46" i="19" s="1"/>
  <c r="AG62" i="1"/>
  <c r="AF47" i="19" s="1"/>
  <c r="I48" i="1"/>
  <c r="H33" i="19" s="1"/>
  <c r="I58" i="1"/>
  <c r="H43" i="19" s="1"/>
  <c r="I56" i="1"/>
  <c r="I60" i="1"/>
  <c r="H45" i="19" s="1"/>
  <c r="I61" i="1"/>
  <c r="H46" i="19" s="1"/>
  <c r="I62" i="1"/>
  <c r="H47" i="19" s="1"/>
  <c r="I59" i="1"/>
  <c r="H44" i="19" s="1"/>
  <c r="CM48" i="1"/>
  <c r="CN48" i="1"/>
  <c r="CO48" i="1"/>
  <c r="CP48" i="1"/>
  <c r="CQ48" i="1"/>
  <c r="CL48" i="1"/>
  <c r="AP48" i="1"/>
  <c r="AO33" i="19" s="1"/>
  <c r="AS48" i="1"/>
  <c r="AR33" i="19" s="1"/>
  <c r="AR48" i="1"/>
  <c r="AQ33" i="19" s="1"/>
  <c r="AQ48" i="1"/>
  <c r="AP33" i="19" s="1"/>
  <c r="Z17" i="1"/>
  <c r="AA17" i="1"/>
  <c r="AB17" i="1"/>
  <c r="Z21" i="1"/>
  <c r="AA21" i="1"/>
  <c r="AB21" i="1"/>
  <c r="Z38" i="1"/>
  <c r="Y23" i="19" s="1"/>
  <c r="AA38" i="1"/>
  <c r="Z23" i="19" s="1"/>
  <c r="AB38" i="1"/>
  <c r="AA23" i="19" s="1"/>
  <c r="AN41" i="19" l="1"/>
  <c r="AO64" i="1"/>
  <c r="P41" i="19"/>
  <c r="Q64" i="1"/>
  <c r="X41" i="19"/>
  <c r="Y64" i="1"/>
  <c r="AF41" i="19"/>
  <c r="AG64" i="1"/>
  <c r="H41" i="19"/>
  <c r="I64" i="1"/>
  <c r="Z2" i="19"/>
  <c r="AI17" i="1"/>
  <c r="AH2" i="19" s="1"/>
  <c r="AA2" i="19"/>
  <c r="AJ17" i="1"/>
  <c r="AI2" i="19" s="1"/>
  <c r="Y2" i="19"/>
  <c r="AH17" i="1"/>
  <c r="AG2" i="19" s="1"/>
  <c r="Z23" i="1"/>
  <c r="Y8" i="19" s="1"/>
  <c r="Y6" i="19"/>
  <c r="AB23" i="1"/>
  <c r="AA8" i="19" s="1"/>
  <c r="AA6" i="19"/>
  <c r="AA23" i="1"/>
  <c r="Z8" i="19" s="1"/>
  <c r="Z6" i="19"/>
  <c r="AB22" i="1"/>
  <c r="AA22" i="1"/>
  <c r="Z22" i="1"/>
  <c r="AB24" i="1" l="1"/>
  <c r="AA9" i="19" s="1"/>
  <c r="AA7" i="19"/>
  <c r="AA24" i="1"/>
  <c r="Z9" i="19" s="1"/>
  <c r="Z7" i="19"/>
  <c r="Z24" i="1"/>
  <c r="Y9" i="19" s="1"/>
  <c r="Y7" i="19"/>
  <c r="M5" i="1"/>
  <c r="Z44" i="1" l="1"/>
  <c r="Y29" i="19" s="1"/>
  <c r="Z39" i="1"/>
  <c r="Y24" i="19" s="1"/>
  <c r="AA39" i="1"/>
  <c r="Z24" i="19" s="1"/>
  <c r="AA44" i="1"/>
  <c r="Z29" i="19" s="1"/>
  <c r="AB39" i="1" l="1"/>
  <c r="AA24" i="19" s="1"/>
  <c r="AB44" i="1"/>
  <c r="AA29" i="19" s="1"/>
  <c r="AJ38" i="1" l="1"/>
  <c r="AI23" i="19" s="1"/>
  <c r="AI38" i="1"/>
  <c r="AH23" i="19" s="1"/>
  <c r="AH38" i="1"/>
  <c r="AG23" i="19" s="1"/>
  <c r="AJ21" i="1"/>
  <c r="AH21" i="1"/>
  <c r="AJ44" i="1"/>
  <c r="AI29" i="19" s="1"/>
  <c r="T38" i="1"/>
  <c r="S23" i="19" s="1"/>
  <c r="S38" i="1"/>
  <c r="R23" i="19" s="1"/>
  <c r="T21" i="1"/>
  <c r="S6" i="19" s="1"/>
  <c r="T17" i="1"/>
  <c r="S2" i="19" s="1"/>
  <c r="S17" i="1"/>
  <c r="R2" i="19" s="1"/>
  <c r="R17" i="1"/>
  <c r="Q2" i="19" s="1"/>
  <c r="L38" i="1"/>
  <c r="K23" i="19" s="1"/>
  <c r="K38" i="1"/>
  <c r="J23" i="19" s="1"/>
  <c r="L21" i="1"/>
  <c r="K6" i="19" s="1"/>
  <c r="D38" i="1"/>
  <c r="C23" i="19" s="1"/>
  <c r="C38" i="1"/>
  <c r="B23" i="19" s="1"/>
  <c r="D21" i="1"/>
  <c r="AH22" i="1" l="1"/>
  <c r="AG7" i="19" s="1"/>
  <c r="AG6" i="19"/>
  <c r="AJ23" i="1"/>
  <c r="AI8" i="19" s="1"/>
  <c r="AI6" i="19"/>
  <c r="D23" i="1"/>
  <c r="C8" i="19" s="1"/>
  <c r="C6" i="19"/>
  <c r="AI21" i="1"/>
  <c r="AH6" i="19" s="1"/>
  <c r="AJ22" i="1"/>
  <c r="AH23" i="1"/>
  <c r="AJ39" i="1"/>
  <c r="AI24" i="19" s="1"/>
  <c r="T23" i="1"/>
  <c r="S8" i="19" s="1"/>
  <c r="T22" i="1"/>
  <c r="S7" i="19" s="1"/>
  <c r="S21" i="1"/>
  <c r="R6" i="19" s="1"/>
  <c r="L23" i="1"/>
  <c r="K8" i="19" s="1"/>
  <c r="L22" i="1"/>
  <c r="K7" i="19" s="1"/>
  <c r="K21" i="1"/>
  <c r="J6" i="19" s="1"/>
  <c r="C21" i="1"/>
  <c r="B6" i="19" s="1"/>
  <c r="D22" i="1"/>
  <c r="AJ24" i="1" l="1"/>
  <c r="AI9" i="19" s="1"/>
  <c r="AI7" i="19"/>
  <c r="D24" i="1"/>
  <c r="C9" i="19" s="1"/>
  <c r="C7" i="19"/>
  <c r="AH24" i="1"/>
  <c r="AG9" i="19" s="1"/>
  <c r="AG8" i="19"/>
  <c r="AK19" i="1"/>
  <c r="T24" i="1"/>
  <c r="S9" i="19" s="1"/>
  <c r="L24" i="1"/>
  <c r="K9" i="19" s="1"/>
  <c r="AI23" i="1"/>
  <c r="AH8" i="19" s="1"/>
  <c r="AI22" i="1"/>
  <c r="AH7" i="19" s="1"/>
  <c r="S23" i="1"/>
  <c r="R8" i="19" s="1"/>
  <c r="S22" i="1"/>
  <c r="R7" i="19" s="1"/>
  <c r="K23" i="1"/>
  <c r="J8" i="19" s="1"/>
  <c r="K22" i="1"/>
  <c r="J7" i="19" s="1"/>
  <c r="C23" i="1"/>
  <c r="B8" i="19" s="1"/>
  <c r="C22" i="1"/>
  <c r="B7" i="19" s="1"/>
  <c r="AK32" i="1" l="1"/>
  <c r="AJ17" i="19" s="1"/>
  <c r="AJ4" i="19"/>
  <c r="AL19" i="1"/>
  <c r="AK4" i="19" s="1"/>
  <c r="K24" i="1"/>
  <c r="J9" i="19" s="1"/>
  <c r="AI24" i="1"/>
  <c r="AH9" i="19" s="1"/>
  <c r="C24" i="1"/>
  <c r="B9" i="19" s="1"/>
  <c r="S24" i="1"/>
  <c r="R9" i="19" s="1"/>
  <c r="AM19" i="1" l="1"/>
  <c r="AL32" i="1"/>
  <c r="AK17" i="19" s="1"/>
  <c r="D5" i="1"/>
  <c r="AM32" i="1" l="1"/>
  <c r="AL17" i="19" s="1"/>
  <c r="AL4" i="19"/>
  <c r="AO19" i="1"/>
  <c r="AN19" i="1"/>
  <c r="AI44" i="1"/>
  <c r="AH29" i="19" s="1"/>
  <c r="AI39" i="1"/>
  <c r="AH24" i="19" s="1"/>
  <c r="AN32" i="1" l="1"/>
  <c r="AM4" i="19"/>
  <c r="AO32" i="1"/>
  <c r="AN17" i="19" s="1"/>
  <c r="AN4" i="19"/>
  <c r="AA19" i="1"/>
  <c r="AB19" i="1"/>
  <c r="Z19" i="1"/>
  <c r="Y4" i="19" s="1"/>
  <c r="AJ19" i="1"/>
  <c r="S19" i="1"/>
  <c r="AI19" i="1"/>
  <c r="R19" i="1"/>
  <c r="AH19" i="1"/>
  <c r="AG4" i="19" s="1"/>
  <c r="T19" i="1"/>
  <c r="J10" i="6"/>
  <c r="L10" i="6" s="1"/>
  <c r="AM17" i="19" l="1"/>
  <c r="BB17" i="1"/>
  <c r="BB19" i="1" s="1"/>
  <c r="BE17" i="1"/>
  <c r="AY17" i="1"/>
  <c r="AY19" i="1" s="1"/>
  <c r="BA17" i="1"/>
  <c r="BC17" i="1"/>
  <c r="BC19" i="1" s="1"/>
  <c r="BC32" i="1" s="1"/>
  <c r="BD17" i="1"/>
  <c r="BD19" i="1" s="1"/>
  <c r="BD32" i="1" s="1"/>
  <c r="AX17" i="1"/>
  <c r="AX19" i="1" s="1"/>
  <c r="AZ17" i="1"/>
  <c r="AZ19" i="1" s="1"/>
  <c r="B25" i="6"/>
  <c r="Q4" i="19"/>
  <c r="AJ32" i="1"/>
  <c r="AI17" i="19" s="1"/>
  <c r="AI4" i="19"/>
  <c r="AB32" i="1"/>
  <c r="AA17" i="19" s="1"/>
  <c r="AA4" i="19"/>
  <c r="AI32" i="1"/>
  <c r="AH17" i="19" s="1"/>
  <c r="AH4" i="19"/>
  <c r="S32" i="1"/>
  <c r="R17" i="19" s="1"/>
  <c r="R4" i="19"/>
  <c r="T32" i="1"/>
  <c r="S17" i="19" s="1"/>
  <c r="S4" i="19"/>
  <c r="AA32" i="1"/>
  <c r="Z17" i="19" s="1"/>
  <c r="Z4" i="19"/>
  <c r="BE19" i="1"/>
  <c r="BE32" i="1" s="1"/>
  <c r="I17" i="1"/>
  <c r="H17" i="1"/>
  <c r="G17" i="1"/>
  <c r="F17" i="1"/>
  <c r="AH32" i="1"/>
  <c r="AG17" i="19" s="1"/>
  <c r="B27" i="6"/>
  <c r="Z32" i="1"/>
  <c r="Y17" i="19" s="1"/>
  <c r="B26" i="6"/>
  <c r="R32" i="1"/>
  <c r="Q17" i="19" s="1"/>
  <c r="E17" i="1"/>
  <c r="D17" i="1"/>
  <c r="C2" i="19" s="1"/>
  <c r="C17" i="1"/>
  <c r="B2" i="19" s="1"/>
  <c r="B17" i="1"/>
  <c r="A2" i="19" s="1"/>
  <c r="N5" i="1"/>
  <c r="E13" i="1"/>
  <c r="E12" i="1"/>
  <c r="L5" i="1"/>
  <c r="C5" i="1"/>
  <c r="C12" i="1" s="1"/>
  <c r="F10" i="6"/>
  <c r="BA19" i="1" l="1"/>
  <c r="BF17" i="1"/>
  <c r="BF19" i="1" s="1"/>
  <c r="BG17" i="1"/>
  <c r="BH17" i="1"/>
  <c r="BH19" i="1" s="1"/>
  <c r="BJ17" i="1"/>
  <c r="BJ19" i="1" s="1"/>
  <c r="BK17" i="1"/>
  <c r="BK19" i="1" s="1"/>
  <c r="BL17" i="1"/>
  <c r="BL19" i="1" s="1"/>
  <c r="BL32" i="1" s="1"/>
  <c r="BI17" i="1"/>
  <c r="BI19" i="1" s="1"/>
  <c r="BM17" i="1"/>
  <c r="BM19" i="1" s="1"/>
  <c r="BM32" i="1" s="1"/>
  <c r="E19" i="1"/>
  <c r="D4" i="19" s="1"/>
  <c r="D2" i="19"/>
  <c r="G19" i="1"/>
  <c r="G32" i="1" s="1"/>
  <c r="F17" i="19" s="1"/>
  <c r="F2" i="19"/>
  <c r="I19" i="1"/>
  <c r="I32" i="1" s="1"/>
  <c r="H17" i="19" s="1"/>
  <c r="H2" i="19"/>
  <c r="F19" i="1"/>
  <c r="E4" i="19" s="1"/>
  <c r="E2" i="19"/>
  <c r="H19" i="1"/>
  <c r="G4" i="19" s="1"/>
  <c r="G2" i="19"/>
  <c r="Q17" i="1"/>
  <c r="P17" i="1"/>
  <c r="AZ32" i="1"/>
  <c r="AY32" i="1"/>
  <c r="BA32" i="1"/>
  <c r="N17" i="1"/>
  <c r="O17" i="1"/>
  <c r="BB32" i="1"/>
  <c r="AX32" i="1"/>
  <c r="B19" i="1"/>
  <c r="A4" i="19" s="1"/>
  <c r="M17" i="1"/>
  <c r="AB26" i="1"/>
  <c r="AA11" i="19" s="1"/>
  <c r="AA26" i="1"/>
  <c r="Z11" i="19" s="1"/>
  <c r="Z26" i="1"/>
  <c r="Y11" i="19" s="1"/>
  <c r="C19" i="1"/>
  <c r="D19" i="1"/>
  <c r="L17" i="1"/>
  <c r="K2" i="19" s="1"/>
  <c r="K17" i="1"/>
  <c r="J2" i="19" s="1"/>
  <c r="J17" i="1"/>
  <c r="I2" i="19" s="1"/>
  <c r="AI26" i="1"/>
  <c r="AH11" i="19" s="1"/>
  <c r="AH26" i="1"/>
  <c r="AG11" i="19" s="1"/>
  <c r="AJ26" i="1"/>
  <c r="AI11" i="19" s="1"/>
  <c r="S26" i="1"/>
  <c r="R11" i="19" s="1"/>
  <c r="T26" i="1"/>
  <c r="S11" i="19" s="1"/>
  <c r="K26" i="1"/>
  <c r="J11" i="19" s="1"/>
  <c r="L26" i="1"/>
  <c r="K11" i="19" s="1"/>
  <c r="C26" i="1"/>
  <c r="D26" i="1"/>
  <c r="C13" i="1"/>
  <c r="E14" i="1"/>
  <c r="O34" i="12" l="1"/>
  <c r="BG19" i="1"/>
  <c r="L44" i="12"/>
  <c r="L43" i="12"/>
  <c r="L42" i="12"/>
  <c r="C11" i="19"/>
  <c r="B11" i="19"/>
  <c r="AF47" i="1"/>
  <c r="CB47" i="1"/>
  <c r="CB55" i="1" s="1"/>
  <c r="AN47" i="1"/>
  <c r="CJ47" i="1"/>
  <c r="CJ55" i="1" s="1"/>
  <c r="BT47" i="1"/>
  <c r="BT55" i="1" s="1"/>
  <c r="CA47" i="1"/>
  <c r="CA55" i="1" s="1"/>
  <c r="CI47" i="1"/>
  <c r="CI55" i="1" s="1"/>
  <c r="AE47" i="1"/>
  <c r="AM47" i="1"/>
  <c r="BK32" i="1"/>
  <c r="BS47" i="1"/>
  <c r="BS55" i="1" s="1"/>
  <c r="F4" i="19"/>
  <c r="E32" i="1"/>
  <c r="H32" i="1"/>
  <c r="H4" i="19"/>
  <c r="F32" i="1"/>
  <c r="E17" i="19" s="1"/>
  <c r="O19" i="1"/>
  <c r="N2" i="19"/>
  <c r="N19" i="1"/>
  <c r="M4" i="19" s="1"/>
  <c r="M2" i="19"/>
  <c r="M19" i="1"/>
  <c r="M32" i="1" s="1"/>
  <c r="L2" i="19"/>
  <c r="P19" i="1"/>
  <c r="P32" i="1" s="1"/>
  <c r="O2" i="19"/>
  <c r="Q19" i="1"/>
  <c r="P4" i="19" s="1"/>
  <c r="P2" i="19"/>
  <c r="D32" i="1"/>
  <c r="C17" i="19" s="1"/>
  <c r="C4" i="19"/>
  <c r="C32" i="1"/>
  <c r="B17" i="19" s="1"/>
  <c r="B4" i="19"/>
  <c r="D28" i="6"/>
  <c r="BZ47" i="1"/>
  <c r="BZ55" i="1" s="1"/>
  <c r="CD47" i="1"/>
  <c r="CD55" i="1" s="1"/>
  <c r="CD48" i="1" s="1"/>
  <c r="BI32" i="1"/>
  <c r="BJ32" i="1"/>
  <c r="BF32" i="1"/>
  <c r="BG32" i="1"/>
  <c r="BH32" i="1"/>
  <c r="CF47" i="1"/>
  <c r="CF55" i="1" s="1"/>
  <c r="CG47" i="1"/>
  <c r="CG55" i="1" s="1"/>
  <c r="CH47" i="1"/>
  <c r="CH55" i="1" s="1"/>
  <c r="CE47" i="1"/>
  <c r="CE55" i="1" s="1"/>
  <c r="BX47" i="1"/>
  <c r="BX55" i="1" s="1"/>
  <c r="BY47" i="1"/>
  <c r="BY55" i="1" s="1"/>
  <c r="BW47" i="1"/>
  <c r="BW55" i="1" s="1"/>
  <c r="BV47" i="1"/>
  <c r="BV55" i="1" s="1"/>
  <c r="BP47" i="1"/>
  <c r="BP55" i="1" s="1"/>
  <c r="BQ47" i="1"/>
  <c r="BQ55" i="1" s="1"/>
  <c r="BN47" i="1"/>
  <c r="BN55" i="1" s="1"/>
  <c r="BR47" i="1"/>
  <c r="BR55" i="1" s="1"/>
  <c r="AC47" i="1"/>
  <c r="AL47" i="1"/>
  <c r="AB47" i="1"/>
  <c r="AI47" i="1"/>
  <c r="AK47" i="1"/>
  <c r="AA47" i="1"/>
  <c r="AJ47" i="1"/>
  <c r="Z47" i="1"/>
  <c r="AH47" i="1"/>
  <c r="AD47" i="1"/>
  <c r="B23" i="6"/>
  <c r="J19" i="1"/>
  <c r="C14" i="1"/>
  <c r="K19" i="1"/>
  <c r="L19" i="1"/>
  <c r="O42" i="12" l="1"/>
  <c r="O40" i="12"/>
  <c r="L41" i="12"/>
  <c r="O41" i="12"/>
  <c r="L40" i="12"/>
  <c r="O39" i="12"/>
  <c r="O36" i="12"/>
  <c r="L39" i="12"/>
  <c r="O33" i="12"/>
  <c r="O32" i="12"/>
  <c r="L38" i="12"/>
  <c r="O38" i="12"/>
  <c r="L37" i="12"/>
  <c r="O37" i="12"/>
  <c r="L35" i="12"/>
  <c r="O35" i="12"/>
  <c r="L32" i="12"/>
  <c r="L34" i="12"/>
  <c r="L33" i="12"/>
  <c r="L36" i="12"/>
  <c r="BO47" i="1"/>
  <c r="BO55" i="1" s="1"/>
  <c r="CJ48" i="1"/>
  <c r="AM32" i="19"/>
  <c r="AN55" i="1"/>
  <c r="CB48" i="1"/>
  <c r="AE32" i="19"/>
  <c r="AF55" i="1"/>
  <c r="BT48" i="1"/>
  <c r="X47" i="1"/>
  <c r="H47" i="1"/>
  <c r="BD47" i="1"/>
  <c r="BD55" i="1" s="1"/>
  <c r="P47" i="1"/>
  <c r="BL47" i="1"/>
  <c r="BL55" i="1" s="1"/>
  <c r="BL48" i="1" s="1"/>
  <c r="O17" i="19"/>
  <c r="G17" i="19"/>
  <c r="AL32" i="19"/>
  <c r="AM55" i="1"/>
  <c r="AD32" i="19"/>
  <c r="AE55" i="1"/>
  <c r="AD40" i="19" s="1"/>
  <c r="CI48" i="1"/>
  <c r="CA48" i="1"/>
  <c r="O32" i="1"/>
  <c r="N17" i="19" s="1"/>
  <c r="W47" i="1"/>
  <c r="BS48" i="1"/>
  <c r="G47" i="1"/>
  <c r="BC47" i="1"/>
  <c r="BC55" i="1" s="1"/>
  <c r="O47" i="1"/>
  <c r="BK47" i="1"/>
  <c r="BK55" i="1" s="1"/>
  <c r="BK48" i="1" s="1"/>
  <c r="Q32" i="1"/>
  <c r="P17" i="19" s="1"/>
  <c r="N32" i="1"/>
  <c r="M17" i="19" s="1"/>
  <c r="N4" i="19"/>
  <c r="D17" i="19"/>
  <c r="V47" i="1"/>
  <c r="U32" i="19" s="1"/>
  <c r="L4" i="19"/>
  <c r="U47" i="1"/>
  <c r="U55" i="1" s="1"/>
  <c r="T40" i="19" s="1"/>
  <c r="O4" i="19"/>
  <c r="L17" i="19"/>
  <c r="Z55" i="1"/>
  <c r="Y40" i="19" s="1"/>
  <c r="Y32" i="19"/>
  <c r="AJ55" i="1"/>
  <c r="AI32" i="19"/>
  <c r="AC55" i="1"/>
  <c r="AB40" i="19" s="1"/>
  <c r="AB32" i="19"/>
  <c r="R47" i="1"/>
  <c r="I4" i="19"/>
  <c r="AA55" i="1"/>
  <c r="Z40" i="19" s="1"/>
  <c r="Z32" i="19"/>
  <c r="L32" i="1"/>
  <c r="K17" i="19" s="1"/>
  <c r="K4" i="19"/>
  <c r="AH55" i="1"/>
  <c r="AG40" i="19" s="1"/>
  <c r="AG32" i="19"/>
  <c r="K32" i="1"/>
  <c r="J17" i="19" s="1"/>
  <c r="J4" i="19"/>
  <c r="AK55" i="1"/>
  <c r="AJ40" i="19" s="1"/>
  <c r="AJ32" i="19"/>
  <c r="AI55" i="1"/>
  <c r="AH40" i="19" s="1"/>
  <c r="AH32" i="19"/>
  <c r="AB55" i="1"/>
  <c r="AA40" i="19" s="1"/>
  <c r="AA32" i="19"/>
  <c r="AD55" i="1"/>
  <c r="AC40" i="19" s="1"/>
  <c r="AC32" i="19"/>
  <c r="AL55" i="1"/>
  <c r="AK40" i="19" s="1"/>
  <c r="AK32" i="19"/>
  <c r="BF47" i="1"/>
  <c r="BF55" i="1" s="1"/>
  <c r="BI47" i="1"/>
  <c r="BI55" i="1" s="1"/>
  <c r="BJ47" i="1"/>
  <c r="BJ55" i="1" s="1"/>
  <c r="BB47" i="1"/>
  <c r="BB55" i="1" s="1"/>
  <c r="CE48" i="1"/>
  <c r="CH48" i="1"/>
  <c r="CG48" i="1"/>
  <c r="CF48" i="1"/>
  <c r="BV48" i="1"/>
  <c r="BW48" i="1"/>
  <c r="BY48" i="1"/>
  <c r="BX48" i="1"/>
  <c r="BZ48" i="1"/>
  <c r="BR48" i="1"/>
  <c r="BN48" i="1"/>
  <c r="BQ48" i="1"/>
  <c r="BP48" i="1"/>
  <c r="BH47" i="1"/>
  <c r="BH55" i="1" s="1"/>
  <c r="BG47" i="1"/>
  <c r="BG55" i="1" s="1"/>
  <c r="BA47" i="1"/>
  <c r="BA55" i="1" s="1"/>
  <c r="AY47" i="1"/>
  <c r="AY55" i="1" s="1"/>
  <c r="AZ47" i="1"/>
  <c r="AZ55" i="1" s="1"/>
  <c r="AX47" i="1"/>
  <c r="AX55" i="1" s="1"/>
  <c r="T47" i="1"/>
  <c r="S47" i="1"/>
  <c r="N47" i="1"/>
  <c r="M47" i="1"/>
  <c r="C47" i="1"/>
  <c r="L47" i="1"/>
  <c r="K47" i="1"/>
  <c r="J47" i="1"/>
  <c r="D47" i="1"/>
  <c r="E47" i="1"/>
  <c r="F47" i="1"/>
  <c r="J32" i="1"/>
  <c r="I17" i="19" s="1"/>
  <c r="B24" i="6"/>
  <c r="K44" i="1"/>
  <c r="J29" i="19" s="1"/>
  <c r="S39" i="1"/>
  <c r="C44" i="1"/>
  <c r="B29" i="19" s="1"/>
  <c r="S44" i="1"/>
  <c r="R29" i="19" s="1"/>
  <c r="K39" i="1"/>
  <c r="C39" i="1"/>
  <c r="L44" i="1"/>
  <c r="K29" i="19" s="1"/>
  <c r="D44" i="1"/>
  <c r="C29" i="19" s="1"/>
  <c r="T44" i="1"/>
  <c r="S29" i="19" s="1"/>
  <c r="T39" i="1"/>
  <c r="D39" i="1"/>
  <c r="L39" i="1"/>
  <c r="AH39" i="1"/>
  <c r="AH44" i="1"/>
  <c r="AG29" i="19" s="1"/>
  <c r="BO48" i="1" l="1"/>
  <c r="AL40" i="19"/>
  <c r="AI40" i="19"/>
  <c r="AJ48" i="1"/>
  <c r="AI33" i="19" s="1"/>
  <c r="AE40" i="19"/>
  <c r="AF48" i="1"/>
  <c r="AE33" i="19" s="1"/>
  <c r="AM40" i="19"/>
  <c r="AN48" i="1"/>
  <c r="AM33" i="19" s="1"/>
  <c r="W32" i="19"/>
  <c r="X55" i="1"/>
  <c r="O32" i="19"/>
  <c r="P55" i="1"/>
  <c r="BD48" i="1"/>
  <c r="G32" i="19"/>
  <c r="H55" i="1"/>
  <c r="AE48" i="1"/>
  <c r="AD33" i="19" s="1"/>
  <c r="AM48" i="1"/>
  <c r="AL33" i="19" s="1"/>
  <c r="V55" i="1"/>
  <c r="U40" i="19" s="1"/>
  <c r="V32" i="19"/>
  <c r="W55" i="1"/>
  <c r="BC48" i="1"/>
  <c r="N32" i="19"/>
  <c r="O55" i="1"/>
  <c r="N40" i="19" s="1"/>
  <c r="F32" i="19"/>
  <c r="G55" i="1"/>
  <c r="T32" i="19"/>
  <c r="U48" i="1"/>
  <c r="T33" i="19" s="1"/>
  <c r="AD48" i="1"/>
  <c r="AC33" i="19" s="1"/>
  <c r="AL48" i="1"/>
  <c r="AK33" i="19" s="1"/>
  <c r="AA48" i="1"/>
  <c r="Z33" i="19" s="1"/>
  <c r="AH48" i="1"/>
  <c r="AG33" i="19" s="1"/>
  <c r="AB48" i="1"/>
  <c r="AA33" i="19" s="1"/>
  <c r="AK48" i="1"/>
  <c r="AJ33" i="19" s="1"/>
  <c r="AC48" i="1"/>
  <c r="AB33" i="19" s="1"/>
  <c r="AI48" i="1"/>
  <c r="AH33" i="19" s="1"/>
  <c r="Z48" i="1"/>
  <c r="Y33" i="19" s="1"/>
  <c r="D27" i="6"/>
  <c r="C24" i="19"/>
  <c r="S24" i="19"/>
  <c r="R24" i="19"/>
  <c r="B24" i="19"/>
  <c r="AG24" i="19"/>
  <c r="J24" i="19"/>
  <c r="K24" i="19"/>
  <c r="F55" i="1"/>
  <c r="E40" i="19" s="1"/>
  <c r="E32" i="19"/>
  <c r="M55" i="1"/>
  <c r="L40" i="19" s="1"/>
  <c r="L32" i="19"/>
  <c r="A40" i="19"/>
  <c r="A32" i="19"/>
  <c r="N55" i="1"/>
  <c r="M40" i="19" s="1"/>
  <c r="M32" i="19"/>
  <c r="L55" i="1"/>
  <c r="K40" i="19" s="1"/>
  <c r="K32" i="19"/>
  <c r="R55" i="1"/>
  <c r="Q40" i="19" s="1"/>
  <c r="Q32" i="19"/>
  <c r="E55" i="1"/>
  <c r="D40" i="19" s="1"/>
  <c r="D32" i="19"/>
  <c r="S55" i="1"/>
  <c r="R40" i="19" s="1"/>
  <c r="R32" i="19"/>
  <c r="D55" i="1"/>
  <c r="C40" i="19" s="1"/>
  <c r="C32" i="19"/>
  <c r="T55" i="1"/>
  <c r="S40" i="19" s="1"/>
  <c r="S32" i="19"/>
  <c r="C55" i="1"/>
  <c r="B40" i="19" s="1"/>
  <c r="B32" i="19"/>
  <c r="J55" i="1"/>
  <c r="I40" i="19" s="1"/>
  <c r="I32" i="19"/>
  <c r="K55" i="1"/>
  <c r="J40" i="19" s="1"/>
  <c r="J32" i="19"/>
  <c r="D26" i="6"/>
  <c r="BJ48" i="1"/>
  <c r="BI48" i="1"/>
  <c r="BG48" i="1"/>
  <c r="BF48" i="1"/>
  <c r="BH48" i="1"/>
  <c r="AX48" i="1"/>
  <c r="AZ48" i="1"/>
  <c r="BB48" i="1"/>
  <c r="AY48" i="1"/>
  <c r="BA48" i="1"/>
  <c r="W40" i="19" l="1"/>
  <c r="X48" i="1"/>
  <c r="W33" i="19" s="1"/>
  <c r="G40" i="19"/>
  <c r="H48" i="1"/>
  <c r="G33" i="19" s="1"/>
  <c r="O40" i="19"/>
  <c r="P48" i="1"/>
  <c r="O33" i="19" s="1"/>
  <c r="V48" i="1"/>
  <c r="U33" i="19" s="1"/>
  <c r="O48" i="1"/>
  <c r="N33" i="19" s="1"/>
  <c r="V40" i="19"/>
  <c r="W48" i="1"/>
  <c r="V33" i="19" s="1"/>
  <c r="F40" i="19"/>
  <c r="G48" i="1"/>
  <c r="F33" i="19" s="1"/>
  <c r="S48" i="1"/>
  <c r="R33" i="19" s="1"/>
  <c r="F48" i="1"/>
  <c r="E33" i="19" s="1"/>
  <c r="N48" i="1"/>
  <c r="M33" i="19" s="1"/>
  <c r="M48" i="1"/>
  <c r="L33" i="19" s="1"/>
  <c r="T48" i="1"/>
  <c r="S33" i="19" s="1"/>
  <c r="D25" i="6"/>
  <c r="E48" i="1"/>
  <c r="D33" i="19" s="1"/>
  <c r="D23" i="6"/>
  <c r="D24" i="6"/>
  <c r="B32" i="1" l="1"/>
  <c r="F5" i="1"/>
  <c r="E10" i="6" s="1"/>
  <c r="A17" i="19" l="1"/>
  <c r="E32" i="12"/>
  <c r="B38" i="1"/>
  <c r="A23" i="19" s="1"/>
  <c r="B26" i="1"/>
  <c r="R26" i="1"/>
  <c r="Q11" i="19" s="1"/>
  <c r="J26" i="1"/>
  <c r="I11" i="19" s="1"/>
  <c r="R38" i="1"/>
  <c r="Q23" i="19" s="1"/>
  <c r="J38" i="1"/>
  <c r="I23" i="19" s="1"/>
  <c r="A11" i="19" l="1"/>
  <c r="D32" i="12"/>
  <c r="J44" i="1"/>
  <c r="I29" i="19" s="1"/>
  <c r="B39" i="1"/>
  <c r="B44" i="1"/>
  <c r="A29" i="19" s="1"/>
  <c r="R39" i="1"/>
  <c r="R44" i="1"/>
  <c r="Q29" i="19" s="1"/>
  <c r="J21" i="1"/>
  <c r="I6" i="19" s="1"/>
  <c r="J39" i="1"/>
  <c r="R21" i="1"/>
  <c r="Q6" i="19" s="1"/>
  <c r="Q24" i="19" l="1"/>
  <c r="A24" i="19"/>
  <c r="I24" i="19"/>
  <c r="Z29" i="1"/>
  <c r="AA29" i="1"/>
  <c r="AB29" i="1"/>
  <c r="AH29" i="1"/>
  <c r="AG14" i="19" s="1"/>
  <c r="T29" i="1"/>
  <c r="S14" i="19" s="1"/>
  <c r="L29" i="1"/>
  <c r="K14" i="19" s="1"/>
  <c r="AJ29" i="1"/>
  <c r="AI14" i="19" s="1"/>
  <c r="D29" i="1"/>
  <c r="S29" i="1"/>
  <c r="R14" i="19" s="1"/>
  <c r="AI29" i="1"/>
  <c r="AH14" i="19" s="1"/>
  <c r="K29" i="1"/>
  <c r="J14" i="19" s="1"/>
  <c r="C29" i="1"/>
  <c r="B14" i="19" s="1"/>
  <c r="D48" i="1"/>
  <c r="C33" i="19" s="1"/>
  <c r="L48" i="1"/>
  <c r="K33" i="19" s="1"/>
  <c r="K48" i="1"/>
  <c r="J33" i="19" s="1"/>
  <c r="C48" i="1"/>
  <c r="B33" i="19" s="1"/>
  <c r="B23" i="1"/>
  <c r="J23" i="1"/>
  <c r="I8" i="19" s="1"/>
  <c r="J22" i="1"/>
  <c r="I7" i="19" s="1"/>
  <c r="R23" i="1"/>
  <c r="Q8" i="19" s="1"/>
  <c r="R22" i="1"/>
  <c r="Q7" i="19" s="1"/>
  <c r="A8" i="19" l="1"/>
  <c r="Y14" i="19"/>
  <c r="C14" i="19"/>
  <c r="Z14" i="19"/>
  <c r="AA14" i="19"/>
  <c r="B24" i="1"/>
  <c r="B29" i="1" s="1"/>
  <c r="R24" i="1"/>
  <c r="J24" i="1"/>
  <c r="AH13" i="19"/>
  <c r="R13" i="19"/>
  <c r="K13" i="19"/>
  <c r="B13" i="19"/>
  <c r="J13" i="19"/>
  <c r="S13" i="19"/>
  <c r="AG13" i="19"/>
  <c r="B48" i="1"/>
  <c r="A33" i="19" s="1"/>
  <c r="Y13" i="19" l="1"/>
  <c r="C13" i="19"/>
  <c r="Z13" i="19"/>
  <c r="R29" i="1"/>
  <c r="Q9" i="19"/>
  <c r="AA13" i="19"/>
  <c r="J29" i="1"/>
  <c r="I14" i="19" s="1"/>
  <c r="I9" i="19"/>
  <c r="A14" i="19"/>
  <c r="A9" i="19"/>
  <c r="AI13" i="19"/>
  <c r="R48" i="1"/>
  <c r="Q33" i="19" s="1"/>
  <c r="J48" i="1"/>
  <c r="I33" i="19" s="1"/>
  <c r="I13" i="19" l="1"/>
  <c r="Q14" i="19"/>
  <c r="A13" i="19" l="1"/>
  <c r="Q13" i="19"/>
  <c r="A22" i="19" l="1"/>
  <c r="AB43" i="1"/>
  <c r="Z43" i="1"/>
  <c r="AA43" i="1"/>
  <c r="AJ43" i="1"/>
  <c r="AH43" i="1"/>
  <c r="AI43" i="1"/>
  <c r="S43" i="1"/>
  <c r="T43" i="1"/>
  <c r="K43" i="1"/>
  <c r="L43" i="1"/>
  <c r="D43" i="1"/>
  <c r="C43" i="1"/>
  <c r="B43" i="1"/>
  <c r="R43" i="1"/>
  <c r="J43" i="1"/>
  <c r="A39" i="19" l="1"/>
  <c r="AH28" i="19"/>
  <c r="A28" i="19"/>
  <c r="AG28" i="19"/>
  <c r="B28" i="19"/>
  <c r="AI28" i="19"/>
  <c r="Q28" i="19"/>
  <c r="K28" i="19"/>
  <c r="Y28" i="19"/>
  <c r="Z28" i="19"/>
  <c r="J28" i="19"/>
  <c r="AA28" i="19"/>
  <c r="C28" i="19"/>
  <c r="S28" i="19"/>
  <c r="I28" i="19"/>
  <c r="R28" i="19"/>
  <c r="I5" i="1" l="1"/>
  <c r="D68" i="12" l="1"/>
  <c r="D74" i="12" s="1"/>
  <c r="D75" i="12" s="1"/>
  <c r="D14" i="12" l="1"/>
  <c r="D20" i="12" s="1"/>
  <c r="D21" i="12" s="1"/>
  <c r="D18" i="17" l="1"/>
  <c r="D22" i="17"/>
  <c r="D13" i="17"/>
  <c r="D19" i="17"/>
  <c r="D15" i="17"/>
  <c r="D11" i="17"/>
  <c r="D20" i="17"/>
  <c r="D16" i="17"/>
  <c r="D10" i="17"/>
  <c r="D17" i="17"/>
  <c r="D9" i="17"/>
  <c r="D14" i="17"/>
  <c r="D8" i="17"/>
  <c r="D12" i="17"/>
  <c r="D21" i="17"/>
  <c r="E30" i="17"/>
  <c r="E35" i="17"/>
  <c r="N35" i="17" s="1"/>
  <c r="E48" i="17"/>
  <c r="W48" i="17" s="1"/>
  <c r="E31" i="17"/>
  <c r="N31" i="17" s="1"/>
  <c r="W31" i="17" s="1"/>
  <c r="E50" i="17"/>
  <c r="W50" i="17" s="1"/>
  <c r="E47" i="17"/>
  <c r="W47" i="17" s="1"/>
  <c r="E34" i="17"/>
  <c r="N34" i="17" s="1"/>
  <c r="I34" i="17" s="1"/>
  <c r="E27" i="17"/>
  <c r="E26" i="17"/>
  <c r="E56" i="17"/>
  <c r="Y56" i="17" s="1"/>
  <c r="E40" i="17"/>
  <c r="E33" i="17"/>
  <c r="E38" i="17"/>
  <c r="N38" i="17" s="1"/>
  <c r="E52" i="17"/>
  <c r="X52" i="17" s="1"/>
  <c r="E37" i="17"/>
  <c r="N37" i="17" s="1"/>
  <c r="E45" i="17"/>
  <c r="W45" i="17" s="1"/>
  <c r="E67" i="17"/>
  <c r="H67" i="17" s="1"/>
  <c r="E39" i="17"/>
  <c r="E62" i="17"/>
  <c r="H62" i="17" s="1"/>
  <c r="E51" i="17"/>
  <c r="W51" i="17" s="1"/>
  <c r="E29" i="17"/>
  <c r="E65" i="17"/>
  <c r="H65" i="17" s="1"/>
  <c r="V65" i="17" s="1"/>
  <c r="E32" i="17"/>
  <c r="E46" i="17"/>
  <c r="I46" i="17" s="1"/>
  <c r="E49" i="17"/>
  <c r="Y49" i="17" s="1"/>
  <c r="E57" i="17"/>
  <c r="Y57" i="17" s="1"/>
  <c r="E44" i="17"/>
  <c r="Y44" i="17" s="1"/>
  <c r="E63" i="17"/>
  <c r="E71" i="17"/>
  <c r="X71" i="17" s="1"/>
  <c r="E70" i="17"/>
  <c r="W70" i="17" s="1"/>
  <c r="E75" i="17"/>
  <c r="E66" i="17"/>
  <c r="H66" i="17" s="1"/>
  <c r="V66" i="17" s="1"/>
  <c r="E55" i="17"/>
  <c r="E58" i="17"/>
  <c r="Y58" i="17" s="1"/>
  <c r="E68" i="17"/>
  <c r="Y68" i="17" s="1"/>
  <c r="E64" i="17"/>
  <c r="I64" i="17" s="1"/>
  <c r="E73" i="17"/>
  <c r="W73" i="17" s="1"/>
  <c r="E76" i="17"/>
  <c r="I76" i="17" s="1"/>
  <c r="E74" i="17"/>
  <c r="E28" i="17"/>
  <c r="E53" i="17"/>
  <c r="I53" i="17" s="1"/>
  <c r="E36" i="17"/>
  <c r="E54" i="17"/>
  <c r="H54" i="17" s="1"/>
  <c r="E69" i="17"/>
  <c r="Y69" i="17" s="1"/>
  <c r="E72" i="17"/>
  <c r="H72" i="17" s="1"/>
  <c r="X50" i="17" l="1"/>
  <c r="I44" i="17"/>
  <c r="X56" i="17"/>
  <c r="J12" i="17"/>
  <c r="H71" i="17"/>
  <c r="I45" i="17"/>
  <c r="I48" i="17"/>
  <c r="H76" i="17"/>
  <c r="J22" i="17" s="1"/>
  <c r="J56" i="17"/>
  <c r="J50" i="17"/>
  <c r="H50" i="17"/>
  <c r="V50" i="17" s="1"/>
  <c r="X72" i="17"/>
  <c r="H64" i="17"/>
  <c r="Y51" i="17"/>
  <c r="I49" i="17"/>
  <c r="H51" i="17"/>
  <c r="V51" i="17" s="1"/>
  <c r="H48" i="17"/>
  <c r="I12" i="17" s="1"/>
  <c r="W76" i="17"/>
  <c r="I70" i="17"/>
  <c r="I56" i="17"/>
  <c r="Y48" i="17"/>
  <c r="X57" i="17"/>
  <c r="X70" i="17"/>
  <c r="H69" i="17"/>
  <c r="H68" i="17"/>
  <c r="I57" i="17"/>
  <c r="H73" i="17"/>
  <c r="V73" i="17" s="1"/>
  <c r="H70" i="17"/>
  <c r="J11" i="17"/>
  <c r="W56" i="17"/>
  <c r="Y46" i="17"/>
  <c r="I31" i="17"/>
  <c r="N32" i="17"/>
  <c r="I32" i="17" s="1"/>
  <c r="V72" i="17"/>
  <c r="J18" i="17"/>
  <c r="W63" i="17"/>
  <c r="J63" i="17"/>
  <c r="X63" i="17"/>
  <c r="Y63" i="17"/>
  <c r="H63" i="17"/>
  <c r="I63" i="17"/>
  <c r="J13" i="17"/>
  <c r="V67" i="17"/>
  <c r="V54" i="17"/>
  <c r="I18" i="17"/>
  <c r="J55" i="17"/>
  <c r="H55" i="17"/>
  <c r="Y55" i="17"/>
  <c r="X55" i="17"/>
  <c r="W55" i="17"/>
  <c r="I55" i="17"/>
  <c r="W75" i="17"/>
  <c r="J75" i="17"/>
  <c r="X75" i="17"/>
  <c r="Y75" i="17"/>
  <c r="H75" i="17"/>
  <c r="I75" i="17"/>
  <c r="V62" i="17"/>
  <c r="J8" i="17"/>
  <c r="W74" i="17"/>
  <c r="I74" i="17"/>
  <c r="X74" i="17"/>
  <c r="H74" i="17"/>
  <c r="J74" i="17"/>
  <c r="Y74" i="17"/>
  <c r="X73" i="17"/>
  <c r="X68" i="17"/>
  <c r="I68" i="17"/>
  <c r="W68" i="17"/>
  <c r="X66" i="17"/>
  <c r="W66" i="17"/>
  <c r="J52" i="17"/>
  <c r="W52" i="17"/>
  <c r="Y52" i="17"/>
  <c r="I52" i="17"/>
  <c r="H52" i="17"/>
  <c r="Y53" i="17"/>
  <c r="Y45" i="17"/>
  <c r="N30" i="17"/>
  <c r="H30" i="17" s="1"/>
  <c r="J66" i="17"/>
  <c r="X51" i="17"/>
  <c r="Y71" i="17"/>
  <c r="I71" i="17"/>
  <c r="W71" i="17"/>
  <c r="J44" i="17"/>
  <c r="X44" i="17"/>
  <c r="J49" i="17"/>
  <c r="W49" i="17"/>
  <c r="Y66" i="17"/>
  <c r="Y31" i="17"/>
  <c r="J53" i="17"/>
  <c r="H49" i="17"/>
  <c r="W37" i="17"/>
  <c r="I73" i="17"/>
  <c r="J73" i="17"/>
  <c r="X69" i="17"/>
  <c r="W69" i="17"/>
  <c r="I69" i="17"/>
  <c r="J69" i="17"/>
  <c r="J64" i="17"/>
  <c r="W64" i="17"/>
  <c r="X64" i="17"/>
  <c r="Y70" i="17"/>
  <c r="J70" i="17"/>
  <c r="I65" i="17"/>
  <c r="W65" i="17"/>
  <c r="X65" i="17"/>
  <c r="Y37" i="17"/>
  <c r="Y65" i="17"/>
  <c r="X31" i="17"/>
  <c r="H38" i="17"/>
  <c r="J71" i="17"/>
  <c r="N40" i="17"/>
  <c r="Y40" i="17" s="1"/>
  <c r="W53" i="17"/>
  <c r="H53" i="17"/>
  <c r="X53" i="17"/>
  <c r="W58" i="17"/>
  <c r="J58" i="17"/>
  <c r="H58" i="17"/>
  <c r="I58" i="17"/>
  <c r="X58" i="17"/>
  <c r="N39" i="17"/>
  <c r="W39" i="17" s="1"/>
  <c r="X47" i="17"/>
  <c r="H47" i="17"/>
  <c r="Y47" i="17"/>
  <c r="J47" i="17"/>
  <c r="I47" i="17"/>
  <c r="I54" i="17"/>
  <c r="W44" i="17"/>
  <c r="X46" i="17"/>
  <c r="W46" i="17"/>
  <c r="H46" i="17"/>
  <c r="J46" i="17"/>
  <c r="N29" i="17"/>
  <c r="W29" i="17" s="1"/>
  <c r="X62" i="17"/>
  <c r="W62" i="17"/>
  <c r="J62" i="17"/>
  <c r="Y62" i="17"/>
  <c r="I62" i="17"/>
  <c r="W35" i="17"/>
  <c r="Y35" i="17"/>
  <c r="J35" i="17"/>
  <c r="H35" i="17"/>
  <c r="X35" i="17"/>
  <c r="I35" i="17"/>
  <c r="X54" i="17"/>
  <c r="X76" i="17"/>
  <c r="J76" i="17"/>
  <c r="J57" i="17"/>
  <c r="H57" i="17"/>
  <c r="W57" i="17"/>
  <c r="Y73" i="17"/>
  <c r="H45" i="17"/>
  <c r="J45" i="17"/>
  <c r="X45" i="17"/>
  <c r="X38" i="17"/>
  <c r="N33" i="17"/>
  <c r="Y33" i="17" s="1"/>
  <c r="N27" i="17"/>
  <c r="I27" i="17" s="1"/>
  <c r="J68" i="17"/>
  <c r="I51" i="17"/>
  <c r="J51" i="17"/>
  <c r="H37" i="17"/>
  <c r="X37" i="17"/>
  <c r="J37" i="17"/>
  <c r="I37" i="17"/>
  <c r="J72" i="17"/>
  <c r="I72" i="17"/>
  <c r="W72" i="17"/>
  <c r="Y72" i="17"/>
  <c r="W54" i="17"/>
  <c r="J54" i="17"/>
  <c r="Y54" i="17"/>
  <c r="N36" i="17"/>
  <c r="H36" i="17" s="1"/>
  <c r="N28" i="17"/>
  <c r="W28" i="17" s="1"/>
  <c r="Y64" i="17"/>
  <c r="X49" i="17"/>
  <c r="I67" i="17"/>
  <c r="X67" i="17"/>
  <c r="Y67" i="17"/>
  <c r="J67" i="17"/>
  <c r="W67" i="17"/>
  <c r="W38" i="17"/>
  <c r="Y38" i="17"/>
  <c r="J38" i="17"/>
  <c r="I38" i="17"/>
  <c r="I66" i="17"/>
  <c r="Y76" i="17"/>
  <c r="J65" i="17"/>
  <c r="H44" i="17"/>
  <c r="H56" i="17"/>
  <c r="Y50" i="17"/>
  <c r="X34" i="17"/>
  <c r="H31" i="17"/>
  <c r="J31" i="17"/>
  <c r="W34" i="17"/>
  <c r="J34" i="17"/>
  <c r="N26" i="17"/>
  <c r="I26" i="17" s="1"/>
  <c r="Y34" i="17"/>
  <c r="H34" i="17"/>
  <c r="J48" i="17"/>
  <c r="X48" i="17"/>
  <c r="I50" i="17"/>
  <c r="I14" i="17" l="1"/>
  <c r="J19" i="17"/>
  <c r="Y30" i="17"/>
  <c r="V48" i="17"/>
  <c r="I15" i="17"/>
  <c r="V76" i="17"/>
  <c r="J28" i="17"/>
  <c r="X39" i="17"/>
  <c r="V71" i="17"/>
  <c r="J17" i="17"/>
  <c r="J30" i="17"/>
  <c r="J10" i="17"/>
  <c r="V64" i="17"/>
  <c r="Y26" i="17"/>
  <c r="W27" i="17"/>
  <c r="I33" i="17"/>
  <c r="Y28" i="17"/>
  <c r="I28" i="17"/>
  <c r="V70" i="17"/>
  <c r="J16" i="17"/>
  <c r="V68" i="17"/>
  <c r="J14" i="17"/>
  <c r="J15" i="17"/>
  <c r="V69" i="17"/>
  <c r="X40" i="17"/>
  <c r="H40" i="17"/>
  <c r="K22" i="17" s="1"/>
  <c r="J40" i="17"/>
  <c r="W40" i="17"/>
  <c r="W26" i="17"/>
  <c r="H28" i="17"/>
  <c r="K10" i="17" s="1"/>
  <c r="H39" i="17"/>
  <c r="K21" i="17" s="1"/>
  <c r="Y39" i="17"/>
  <c r="X26" i="17"/>
  <c r="I36" i="17"/>
  <c r="M24" i="6" s="1"/>
  <c r="I39" i="17"/>
  <c r="K12" i="17"/>
  <c r="V30" i="17"/>
  <c r="X32" i="17"/>
  <c r="V45" i="17"/>
  <c r="I9" i="17"/>
  <c r="Y32" i="17"/>
  <c r="X27" i="17"/>
  <c r="J33" i="17"/>
  <c r="J39" i="17"/>
  <c r="V49" i="17"/>
  <c r="I13" i="17"/>
  <c r="J32" i="17"/>
  <c r="J29" i="17"/>
  <c r="I19" i="17"/>
  <c r="V55" i="17"/>
  <c r="V31" i="17"/>
  <c r="K13" i="17"/>
  <c r="W30" i="17"/>
  <c r="I30" i="17"/>
  <c r="V37" i="17"/>
  <c r="K19" i="17"/>
  <c r="H27" i="17"/>
  <c r="H33" i="17"/>
  <c r="V35" i="17"/>
  <c r="K17" i="17"/>
  <c r="V46" i="17"/>
  <c r="I10" i="17"/>
  <c r="I17" i="17"/>
  <c r="V53" i="17"/>
  <c r="J20" i="17"/>
  <c r="V74" i="17"/>
  <c r="J36" i="17"/>
  <c r="W32" i="17"/>
  <c r="V58" i="17"/>
  <c r="I22" i="17"/>
  <c r="G18" i="17"/>
  <c r="G20" i="17"/>
  <c r="V36" i="17"/>
  <c r="K18" i="17"/>
  <c r="G8" i="17"/>
  <c r="G10" i="17"/>
  <c r="G9" i="17"/>
  <c r="G21" i="17"/>
  <c r="G15" i="17"/>
  <c r="G19" i="17"/>
  <c r="G11" i="17"/>
  <c r="G14" i="17"/>
  <c r="G13" i="17"/>
  <c r="G17" i="17"/>
  <c r="G12" i="17"/>
  <c r="G16" i="17"/>
  <c r="G22" i="17"/>
  <c r="I29" i="17"/>
  <c r="K16" i="17"/>
  <c r="V34" i="17"/>
  <c r="X36" i="17"/>
  <c r="X33" i="17"/>
  <c r="V57" i="17"/>
  <c r="I21" i="17"/>
  <c r="K20" i="17"/>
  <c r="V38" i="17"/>
  <c r="J27" i="17"/>
  <c r="H32" i="17"/>
  <c r="X29" i="17"/>
  <c r="J26" i="17"/>
  <c r="V56" i="17"/>
  <c r="I20" i="17"/>
  <c r="Y36" i="17"/>
  <c r="Y27" i="17"/>
  <c r="W33" i="17"/>
  <c r="H29" i="17"/>
  <c r="V52" i="17"/>
  <c r="I16" i="17"/>
  <c r="X28" i="17"/>
  <c r="V75" i="17"/>
  <c r="J21" i="17"/>
  <c r="Y29" i="17"/>
  <c r="V44" i="17"/>
  <c r="I8" i="17"/>
  <c r="W36" i="17"/>
  <c r="V47" i="17"/>
  <c r="I11" i="17"/>
  <c r="I40" i="17"/>
  <c r="H26" i="17"/>
  <c r="X30" i="17"/>
  <c r="V63" i="17"/>
  <c r="J9" i="17"/>
  <c r="V40" i="17" l="1"/>
  <c r="V39" i="17"/>
  <c r="V28" i="17"/>
  <c r="V27" i="17"/>
  <c r="K9" i="17"/>
  <c r="K15" i="17"/>
  <c r="V33" i="17"/>
  <c r="V26" i="17"/>
  <c r="K8" i="17"/>
  <c r="V29" i="17"/>
  <c r="K11" i="17"/>
  <c r="K14" i="17"/>
  <c r="V32" i="17"/>
  <c r="L23" i="6"/>
  <c r="B27" i="1" l="1"/>
  <c r="A12" i="19" s="1"/>
  <c r="CK27" i="1"/>
  <c r="CJ27" i="1"/>
  <c r="CS27" i="1"/>
  <c r="CR27" i="1"/>
  <c r="CR45" i="1" s="1"/>
  <c r="BT27" i="1"/>
  <c r="CB27" i="1"/>
  <c r="BU27" i="1"/>
  <c r="CC27" i="1"/>
  <c r="CD27" i="1"/>
  <c r="BM27" i="1"/>
  <c r="BL27" i="1"/>
  <c r="AW27" i="1"/>
  <c r="AV27" i="1"/>
  <c r="Y27" i="1"/>
  <c r="X12" i="19" s="1"/>
  <c r="AO27" i="1"/>
  <c r="AN12" i="19" s="1"/>
  <c r="AN27" i="1"/>
  <c r="X27" i="1"/>
  <c r="P27" i="1"/>
  <c r="AG27" i="1"/>
  <c r="BE27" i="1"/>
  <c r="I27" i="1"/>
  <c r="H12" i="19" s="1"/>
  <c r="H27" i="1"/>
  <c r="G12" i="19" s="1"/>
  <c r="CQ27" i="1"/>
  <c r="CL27" i="1"/>
  <c r="CP27" i="1"/>
  <c r="CM27" i="1"/>
  <c r="CH27" i="1"/>
  <c r="CG27" i="1"/>
  <c r="CF27" i="1"/>
  <c r="CE27" i="1"/>
  <c r="CI27" i="1"/>
  <c r="BZ27" i="1"/>
  <c r="BY27" i="1"/>
  <c r="CA27" i="1"/>
  <c r="BX27" i="1"/>
  <c r="BW27" i="1"/>
  <c r="BV27" i="1"/>
  <c r="BQ27" i="1"/>
  <c r="BQ50" i="1" s="1"/>
  <c r="BQ59" i="1" s="1"/>
  <c r="BP27" i="1"/>
  <c r="BO27" i="1"/>
  <c r="BS27" i="1"/>
  <c r="BR27" i="1"/>
  <c r="CO27" i="1"/>
  <c r="BN27" i="1"/>
  <c r="BG27" i="1"/>
  <c r="BF27" i="1"/>
  <c r="BJ27" i="1"/>
  <c r="BK27" i="1"/>
  <c r="BI27" i="1"/>
  <c r="BH27" i="1"/>
  <c r="AY27" i="1"/>
  <c r="AX27" i="1"/>
  <c r="BC27" i="1"/>
  <c r="BB27" i="1"/>
  <c r="BA27" i="1"/>
  <c r="AZ27" i="1"/>
  <c r="AT27" i="1"/>
  <c r="AS12" i="19" s="1"/>
  <c r="AU27" i="1"/>
  <c r="AM27" i="1"/>
  <c r="AL12" i="19" s="1"/>
  <c r="AR27" i="1"/>
  <c r="AQ12" i="19" s="1"/>
  <c r="AL27" i="1"/>
  <c r="AK12" i="19" s="1"/>
  <c r="AE27" i="1"/>
  <c r="AD12" i="19" s="1"/>
  <c r="AD27" i="1"/>
  <c r="W27" i="1"/>
  <c r="V27" i="1"/>
  <c r="O27" i="1"/>
  <c r="N27" i="1"/>
  <c r="G27" i="1"/>
  <c r="U27" i="1"/>
  <c r="AQ27" i="1"/>
  <c r="F27" i="1"/>
  <c r="E27" i="1"/>
  <c r="AC27" i="1"/>
  <c r="AC30" i="1" s="1"/>
  <c r="AB15" i="19" s="1"/>
  <c r="AK27" i="1"/>
  <c r="AK30" i="1" s="1"/>
  <c r="AJ15" i="19" s="1"/>
  <c r="M27" i="1"/>
  <c r="M30" i="1" s="1"/>
  <c r="L15" i="19" s="1"/>
  <c r="AS27" i="1"/>
  <c r="AS30" i="1" s="1"/>
  <c r="AR15" i="19" s="1"/>
  <c r="AP27" i="1"/>
  <c r="AO12" i="19" s="1"/>
  <c r="AJ27" i="1"/>
  <c r="AI12" i="19" s="1"/>
  <c r="AA27" i="1"/>
  <c r="Z12" i="19" s="1"/>
  <c r="R27" i="1"/>
  <c r="Q12" i="19" s="1"/>
  <c r="D27" i="1"/>
  <c r="C12" i="19" s="1"/>
  <c r="T27" i="1"/>
  <c r="AB27" i="1"/>
  <c r="J27" i="1"/>
  <c r="I12" i="19" s="1"/>
  <c r="AI27" i="1"/>
  <c r="AI45" i="1" s="1"/>
  <c r="AH30" i="19" s="1"/>
  <c r="Z27" i="1"/>
  <c r="L27" i="1"/>
  <c r="C27" i="1"/>
  <c r="AH27" i="1"/>
  <c r="K27" i="1"/>
  <c r="S27" i="1"/>
  <c r="R12" i="19" s="1"/>
  <c r="Q27" i="1"/>
  <c r="BD27" i="1"/>
  <c r="AF27" i="1"/>
  <c r="AF45" i="1" s="1"/>
  <c r="AE30" i="19" s="1"/>
  <c r="CN27" i="1"/>
  <c r="CN45" i="1" s="1"/>
  <c r="CN30" i="1" l="1"/>
  <c r="S40" i="1"/>
  <c r="R25" i="19" s="1"/>
  <c r="AH12" i="19"/>
  <c r="S31" i="1"/>
  <c r="R16" i="19" s="1"/>
  <c r="S35" i="1"/>
  <c r="S49" i="1"/>
  <c r="CN50" i="1"/>
  <c r="CN59" i="1" s="1"/>
  <c r="CN31" i="1"/>
  <c r="U45" i="1"/>
  <c r="T30" i="19" s="1"/>
  <c r="U40" i="1"/>
  <c r="T25" i="19" s="1"/>
  <c r="E30" i="1"/>
  <c r="D15" i="19" s="1"/>
  <c r="E40" i="1"/>
  <c r="D25" i="19" s="1"/>
  <c r="AP12" i="19"/>
  <c r="AQ30" i="1"/>
  <c r="AP15" i="19" s="1"/>
  <c r="C45" i="1"/>
  <c r="B30" i="19" s="1"/>
  <c r="B12" i="19"/>
  <c r="AU30" i="1"/>
  <c r="AT15" i="19" s="1"/>
  <c r="AT12" i="19"/>
  <c r="E45" i="1"/>
  <c r="D30" i="19" s="1"/>
  <c r="D12" i="19"/>
  <c r="AR12" i="19"/>
  <c r="AS40" i="1"/>
  <c r="AR25" i="19" s="1"/>
  <c r="AS45" i="1"/>
  <c r="AR30" i="19" s="1"/>
  <c r="AH45" i="1"/>
  <c r="AG30" i="19" s="1"/>
  <c r="AG12" i="19"/>
  <c r="AJ12" i="19"/>
  <c r="AK45" i="1"/>
  <c r="AJ30" i="19" s="1"/>
  <c r="V12" i="19"/>
  <c r="W30" i="1"/>
  <c r="V15" i="19" s="1"/>
  <c r="U12" i="19"/>
  <c r="V30" i="1"/>
  <c r="U15" i="19" s="1"/>
  <c r="V45" i="1"/>
  <c r="U30" i="19" s="1"/>
  <c r="N12" i="19"/>
  <c r="O30" i="1"/>
  <c r="N15" i="19" s="1"/>
  <c r="O45" i="1"/>
  <c r="N30" i="19" s="1"/>
  <c r="O40" i="1"/>
  <c r="N25" i="19" s="1"/>
  <c r="M12" i="19"/>
  <c r="N30" i="1"/>
  <c r="M15" i="19" s="1"/>
  <c r="N40" i="1"/>
  <c r="M25" i="19" s="1"/>
  <c r="N45" i="1"/>
  <c r="M30" i="19" s="1"/>
  <c r="F12" i="19"/>
  <c r="G30" i="1"/>
  <c r="F15" i="19" s="1"/>
  <c r="T12" i="19"/>
  <c r="U30" i="1"/>
  <c r="T15" i="19" s="1"/>
  <c r="F30" i="1"/>
  <c r="E15" i="19" s="1"/>
  <c r="F45" i="1"/>
  <c r="E30" i="19" s="1"/>
  <c r="F40" i="1"/>
  <c r="E25" i="19" s="1"/>
  <c r="AP40" i="1"/>
  <c r="AO25" i="19" s="1"/>
  <c r="AP30" i="1"/>
  <c r="AO15" i="19" s="1"/>
  <c r="K45" i="1"/>
  <c r="J30" i="19" s="1"/>
  <c r="J12" i="19"/>
  <c r="AB12" i="19"/>
  <c r="AC40" i="1"/>
  <c r="AB25" i="19" s="1"/>
  <c r="M35" i="1"/>
  <c r="L12" i="19"/>
  <c r="CN35" i="1"/>
  <c r="CN40" i="1"/>
  <c r="T30" i="1"/>
  <c r="S15" i="19" s="1"/>
  <c r="S12" i="19"/>
  <c r="BD31" i="1"/>
  <c r="BD40" i="1"/>
  <c r="BD45" i="1"/>
  <c r="AE12" i="19"/>
  <c r="AF30" i="1"/>
  <c r="AE15" i="19" s="1"/>
  <c r="S50" i="1"/>
  <c r="S52" i="1"/>
  <c r="AJ50" i="1"/>
  <c r="AJ51" i="1"/>
  <c r="Z35" i="1"/>
  <c r="Z53" i="1"/>
  <c r="Z49" i="1"/>
  <c r="BI35" i="1"/>
  <c r="BI49" i="1"/>
  <c r="BI30" i="1"/>
  <c r="BI31" i="1"/>
  <c r="BH53" i="1"/>
  <c r="BH62" i="1" s="1"/>
  <c r="BH51" i="1"/>
  <c r="BH60" i="1" s="1"/>
  <c r="BH30" i="1"/>
  <c r="BH31" i="1"/>
  <c r="BH45" i="1"/>
  <c r="BH40" i="1"/>
  <c r="AY31" i="1"/>
  <c r="AY40" i="1"/>
  <c r="AY45" i="1"/>
  <c r="AY30" i="1"/>
  <c r="AX30" i="1"/>
  <c r="AX31" i="1"/>
  <c r="AX40" i="1"/>
  <c r="AX45" i="1"/>
  <c r="BC31" i="1"/>
  <c r="BC40" i="1"/>
  <c r="BC45" i="1"/>
  <c r="BC30" i="1"/>
  <c r="BB45" i="1"/>
  <c r="BB31" i="1"/>
  <c r="BB30" i="1"/>
  <c r="BB40" i="1"/>
  <c r="BA45" i="1"/>
  <c r="BA31" i="1"/>
  <c r="BA35" i="1"/>
  <c r="BA40" i="1"/>
  <c r="BA30" i="1"/>
  <c r="BA49" i="1"/>
  <c r="BA50" i="1"/>
  <c r="BA59" i="1" s="1"/>
  <c r="AZ45" i="1"/>
  <c r="AZ50" i="1"/>
  <c r="AZ59" i="1" s="1"/>
  <c r="AZ40" i="1"/>
  <c r="AZ53" i="1"/>
  <c r="AZ62" i="1" s="1"/>
  <c r="AZ30" i="1"/>
  <c r="AZ31" i="1"/>
  <c r="AT45" i="1"/>
  <c r="AS30" i="19" s="1"/>
  <c r="AT30" i="1"/>
  <c r="AS15" i="19" s="1"/>
  <c r="AM30" i="1"/>
  <c r="AL15" i="19" s="1"/>
  <c r="AM40" i="1"/>
  <c r="AL25" i="19" s="1"/>
  <c r="AM45" i="1"/>
  <c r="AL30" i="19" s="1"/>
  <c r="AR40" i="1"/>
  <c r="AQ25" i="19" s="1"/>
  <c r="AR45" i="1"/>
  <c r="AQ30" i="19" s="1"/>
  <c r="AL45" i="1"/>
  <c r="AK30" i="19" s="1"/>
  <c r="AL30" i="1"/>
  <c r="AK15" i="19" s="1"/>
  <c r="AD30" i="1"/>
  <c r="AC15" i="19" s="1"/>
  <c r="AD40" i="1"/>
  <c r="AC25" i="19" s="1"/>
  <c r="AD45" i="1"/>
  <c r="AC30" i="19" s="1"/>
  <c r="AC12" i="19"/>
  <c r="AA30" i="1"/>
  <c r="Z15" i="19" s="1"/>
  <c r="AA50" i="1"/>
  <c r="AA31" i="1"/>
  <c r="Z16" i="19" s="1"/>
  <c r="D49" i="1"/>
  <c r="D50" i="1"/>
  <c r="X30" i="1"/>
  <c r="W15" i="19" s="1"/>
  <c r="W12" i="19"/>
  <c r="AK31" i="1"/>
  <c r="AJ16" i="19" s="1"/>
  <c r="AK40" i="1"/>
  <c r="AJ25" i="19" s="1"/>
  <c r="AL31" i="1"/>
  <c r="AK16" i="19" s="1"/>
  <c r="AL40" i="1"/>
  <c r="AK25" i="19" s="1"/>
  <c r="AB30" i="1"/>
  <c r="AA15" i="19" s="1"/>
  <c r="AA12" i="19"/>
  <c r="CK30" i="1"/>
  <c r="CK40" i="1"/>
  <c r="CK41" i="1" s="1"/>
  <c r="CK31" i="1"/>
  <c r="CJ40" i="1"/>
  <c r="CJ45" i="1"/>
  <c r="CJ30" i="1"/>
  <c r="CS30" i="1"/>
  <c r="CS31" i="1"/>
  <c r="BU30" i="1"/>
  <c r="BU31" i="1"/>
  <c r="CC31" i="1"/>
  <c r="CC40" i="1"/>
  <c r="CC41" i="1" s="1"/>
  <c r="CC45" i="1"/>
  <c r="CC46" i="1" s="1"/>
  <c r="CC30" i="1"/>
  <c r="CD40" i="1"/>
  <c r="CD45" i="1"/>
  <c r="AW45" i="1"/>
  <c r="AW30" i="1"/>
  <c r="AV15" i="19" s="1"/>
  <c r="AW40" i="1"/>
  <c r="Y45" i="1"/>
  <c r="Y40" i="1"/>
  <c r="W53" i="1"/>
  <c r="W40" i="1"/>
  <c r="V25" i="19" s="1"/>
  <c r="W45" i="1"/>
  <c r="V30" i="19" s="1"/>
  <c r="L45" i="1"/>
  <c r="K30" i="19" s="1"/>
  <c r="K12" i="19"/>
  <c r="B30" i="1"/>
  <c r="A15" i="19" s="1"/>
  <c r="B40" i="1"/>
  <c r="A25" i="19" s="1"/>
  <c r="CK45" i="1"/>
  <c r="CK46" i="1" s="1"/>
  <c r="CK57" i="1"/>
  <c r="CK36" i="1"/>
  <c r="CJ49" i="1"/>
  <c r="CJ31" i="1"/>
  <c r="CJ51" i="1"/>
  <c r="CJ60" i="1" s="1"/>
  <c r="CS36" i="1"/>
  <c r="CS57" i="1"/>
  <c r="CS45" i="1"/>
  <c r="CS46" i="1" s="1"/>
  <c r="CS40" i="1"/>
  <c r="CS41" i="1" s="1"/>
  <c r="CR53" i="1"/>
  <c r="CR62" i="1" s="1"/>
  <c r="CR40" i="1"/>
  <c r="CR30" i="1"/>
  <c r="CR35" i="1"/>
  <c r="BT50" i="1"/>
  <c r="BT59" i="1" s="1"/>
  <c r="BT51" i="1"/>
  <c r="BT60" i="1" s="1"/>
  <c r="BT45" i="1"/>
  <c r="BT40" i="1"/>
  <c r="BT30" i="1"/>
  <c r="CB45" i="1"/>
  <c r="CB30" i="1"/>
  <c r="CB40" i="1"/>
  <c r="BU57" i="1"/>
  <c r="BU45" i="1"/>
  <c r="BU46" i="1" s="1"/>
  <c r="BU36" i="1"/>
  <c r="BU40" i="1"/>
  <c r="BU41" i="1" s="1"/>
  <c r="CC57" i="1"/>
  <c r="CC36" i="1"/>
  <c r="CD35" i="1"/>
  <c r="CD31" i="1"/>
  <c r="CD49" i="1"/>
  <c r="CD52" i="1"/>
  <c r="CD61" i="1" s="1"/>
  <c r="CD51" i="1"/>
  <c r="CD60" i="1" s="1"/>
  <c r="CD53" i="1"/>
  <c r="CD62" i="1" s="1"/>
  <c r="CD50" i="1"/>
  <c r="CD59" i="1" s="1"/>
  <c r="CD30" i="1"/>
  <c r="BM57" i="1"/>
  <c r="BM40" i="1"/>
  <c r="BM41" i="1" s="1"/>
  <c r="BM36" i="1"/>
  <c r="BM30" i="1"/>
  <c r="BM45" i="1"/>
  <c r="BM46" i="1" s="1"/>
  <c r="BM31" i="1"/>
  <c r="BL40" i="1"/>
  <c r="BL45" i="1"/>
  <c r="BL30" i="1"/>
  <c r="AV40" i="1"/>
  <c r="AU25" i="19" s="1"/>
  <c r="AV45" i="1"/>
  <c r="AU30" i="19" s="1"/>
  <c r="AV30" i="1"/>
  <c r="AU15" i="19" s="1"/>
  <c r="AV52" i="1"/>
  <c r="Y57" i="1"/>
  <c r="X42" i="19" s="1"/>
  <c r="Y30" i="1"/>
  <c r="X15" i="19" s="1"/>
  <c r="AO57" i="1"/>
  <c r="AN42" i="19" s="1"/>
  <c r="AO30" i="1"/>
  <c r="AN15" i="19" s="1"/>
  <c r="AN40" i="1"/>
  <c r="AN30" i="1"/>
  <c r="AM15" i="19" s="1"/>
  <c r="P45" i="1"/>
  <c r="O30" i="19" s="1"/>
  <c r="P40" i="1"/>
  <c r="O25" i="19" s="1"/>
  <c r="P30" i="1"/>
  <c r="O15" i="19" s="1"/>
  <c r="AG30" i="1"/>
  <c r="AF15" i="19" s="1"/>
  <c r="AG40" i="1"/>
  <c r="BE57" i="1"/>
  <c r="BE36" i="1"/>
  <c r="BE45" i="1"/>
  <c r="BE46" i="1" s="1"/>
  <c r="BE40" i="1"/>
  <c r="BE41" i="1" s="1"/>
  <c r="BE30" i="1"/>
  <c r="BE31" i="1"/>
  <c r="I30" i="1"/>
  <c r="H15" i="19" s="1"/>
  <c r="I40" i="1"/>
  <c r="I45" i="1"/>
  <c r="I36" i="1"/>
  <c r="H21" i="19" s="1"/>
  <c r="H31" i="1"/>
  <c r="G16" i="19" s="1"/>
  <c r="H45" i="1"/>
  <c r="G30" i="19" s="1"/>
  <c r="H30" i="1"/>
  <c r="G15" i="19" s="1"/>
  <c r="H35" i="1"/>
  <c r="H40" i="1"/>
  <c r="G25" i="19" s="1"/>
  <c r="CQ52" i="1"/>
  <c r="CQ61" i="1" s="1"/>
  <c r="CQ30" i="1"/>
  <c r="CQ35" i="1"/>
  <c r="CQ53" i="1"/>
  <c r="CQ62" i="1" s="1"/>
  <c r="CQ49" i="1"/>
  <c r="CL35" i="1"/>
  <c r="CL30" i="1"/>
  <c r="CL31" i="1"/>
  <c r="CL51" i="1"/>
  <c r="CL60" i="1" s="1"/>
  <c r="CL52" i="1"/>
  <c r="CL61" i="1" s="1"/>
  <c r="CL50" i="1"/>
  <c r="CL59" i="1" s="1"/>
  <c r="CL53" i="1"/>
  <c r="CL62" i="1" s="1"/>
  <c r="CL40" i="1"/>
  <c r="CL45" i="1"/>
  <c r="CL49" i="1"/>
  <c r="CP35" i="1"/>
  <c r="CP31" i="1"/>
  <c r="CP45" i="1"/>
  <c r="CP30" i="1"/>
  <c r="CP51" i="1"/>
  <c r="CP60" i="1" s="1"/>
  <c r="CP52" i="1"/>
  <c r="CP61" i="1" s="1"/>
  <c r="CP50" i="1"/>
  <c r="CP59" i="1" s="1"/>
  <c r="CP49" i="1"/>
  <c r="CP40" i="1"/>
  <c r="CP53" i="1"/>
  <c r="CP62" i="1" s="1"/>
  <c r="CM35" i="1"/>
  <c r="CM40" i="1"/>
  <c r="CM45" i="1"/>
  <c r="CM31" i="1"/>
  <c r="CM49" i="1"/>
  <c r="CM51" i="1"/>
  <c r="CM60" i="1" s="1"/>
  <c r="CM53" i="1"/>
  <c r="CM62" i="1" s="1"/>
  <c r="CM50" i="1"/>
  <c r="CM59" i="1" s="1"/>
  <c r="CM52" i="1"/>
  <c r="CM61" i="1" s="1"/>
  <c r="CM30" i="1"/>
  <c r="CH40" i="1"/>
  <c r="CH30" i="1"/>
  <c r="CH49" i="1"/>
  <c r="CH50" i="1"/>
  <c r="CH59" i="1" s="1"/>
  <c r="CH51" i="1"/>
  <c r="CH60" i="1" s="1"/>
  <c r="CH52" i="1"/>
  <c r="CH61" i="1" s="1"/>
  <c r="CH31" i="1"/>
  <c r="CH45" i="1"/>
  <c r="CG53" i="1"/>
  <c r="CG62" i="1" s="1"/>
  <c r="CG40" i="1"/>
  <c r="CG45" i="1"/>
  <c r="CG30" i="1"/>
  <c r="CG31" i="1"/>
  <c r="CF30" i="1"/>
  <c r="CF40" i="1"/>
  <c r="CF31" i="1"/>
  <c r="CE31" i="1"/>
  <c r="CE30" i="1"/>
  <c r="CI30" i="1"/>
  <c r="CI31" i="1"/>
  <c r="BZ31" i="1"/>
  <c r="BZ30" i="1"/>
  <c r="BZ45" i="1"/>
  <c r="BZ40" i="1"/>
  <c r="BY51" i="1"/>
  <c r="BY60" i="1" s="1"/>
  <c r="BY40" i="1"/>
  <c r="BY31" i="1"/>
  <c r="BY30" i="1"/>
  <c r="BY45" i="1"/>
  <c r="CA40" i="1"/>
  <c r="CA53" i="1"/>
  <c r="CA62" i="1" s="1"/>
  <c r="CA45" i="1"/>
  <c r="CA30" i="1"/>
  <c r="BX45" i="1"/>
  <c r="BX40" i="1"/>
  <c r="BX30" i="1"/>
  <c r="BX31" i="1"/>
  <c r="BW30" i="1"/>
  <c r="BW31" i="1"/>
  <c r="BW40" i="1"/>
  <c r="BW45" i="1"/>
  <c r="BV53" i="1"/>
  <c r="BV62" i="1" s="1"/>
  <c r="BV40" i="1"/>
  <c r="BV31" i="1"/>
  <c r="BV30" i="1"/>
  <c r="BV45" i="1"/>
  <c r="BP49" i="1"/>
  <c r="BP31" i="1"/>
  <c r="BP30" i="1"/>
  <c r="BO45" i="1"/>
  <c r="BO40" i="1"/>
  <c r="BO31" i="1"/>
  <c r="BO30" i="1"/>
  <c r="CO50" i="1"/>
  <c r="CO59" i="1" s="1"/>
  <c r="CO45" i="1"/>
  <c r="CO35" i="1"/>
  <c r="CO40" i="1"/>
  <c r="CO30" i="1"/>
  <c r="CO52" i="1"/>
  <c r="CO61" i="1" s="1"/>
  <c r="CO53" i="1"/>
  <c r="CO62" i="1" s="1"/>
  <c r="CO51" i="1"/>
  <c r="CO60" i="1" s="1"/>
  <c r="CO49" i="1"/>
  <c r="CO31" i="1"/>
  <c r="BN31" i="1"/>
  <c r="BN45" i="1"/>
  <c r="BN40" i="1"/>
  <c r="BN30" i="1"/>
  <c r="BG53" i="1"/>
  <c r="BG62" i="1" s="1"/>
  <c r="BG30" i="1"/>
  <c r="BG31" i="1"/>
  <c r="BG40" i="1"/>
  <c r="BG45" i="1"/>
  <c r="BG49" i="1"/>
  <c r="BJ31" i="1"/>
  <c r="BJ45" i="1"/>
  <c r="BJ40" i="1"/>
  <c r="BJ30" i="1"/>
  <c r="BJ51" i="1"/>
  <c r="BJ60" i="1" s="1"/>
  <c r="BK35" i="1"/>
  <c r="BK30" i="1"/>
  <c r="BK50" i="1"/>
  <c r="BK59" i="1" s="1"/>
  <c r="BK40" i="1"/>
  <c r="BK52" i="1"/>
  <c r="BK61" i="1" s="1"/>
  <c r="BK45" i="1"/>
  <c r="AF31" i="1"/>
  <c r="AE16" i="19" s="1"/>
  <c r="AF40" i="1"/>
  <c r="AE25" i="19" s="1"/>
  <c r="AW36" i="1"/>
  <c r="AV21" i="19" s="1"/>
  <c r="AV12" i="19"/>
  <c r="AU12" i="19"/>
  <c r="AV51" i="1"/>
  <c r="BR30" i="1"/>
  <c r="BR31" i="1"/>
  <c r="AW31" i="1"/>
  <c r="AV16" i="19" s="1"/>
  <c r="AW57" i="1"/>
  <c r="AV42" i="19" s="1"/>
  <c r="AN45" i="1"/>
  <c r="AM30" i="19" s="1"/>
  <c r="AN52" i="1"/>
  <c r="CI45" i="1"/>
  <c r="CI40" i="1"/>
  <c r="AM12" i="19"/>
  <c r="AN35" i="1"/>
  <c r="AN53" i="1"/>
  <c r="CA51" i="1"/>
  <c r="CA60" i="1" s="1"/>
  <c r="CA31" i="1"/>
  <c r="BF45" i="1"/>
  <c r="BF40" i="1"/>
  <c r="BF30" i="1"/>
  <c r="BF31" i="1"/>
  <c r="BB35" i="1"/>
  <c r="BB52" i="1"/>
  <c r="BB61" i="1" s="1"/>
  <c r="BB53" i="1"/>
  <c r="BB62" i="1" s="1"/>
  <c r="AN31" i="1"/>
  <c r="AM16" i="19" s="1"/>
  <c r="AN49" i="1"/>
  <c r="AN50" i="1"/>
  <c r="AN51" i="1"/>
  <c r="P31" i="1"/>
  <c r="O16" i="19" s="1"/>
  <c r="O12" i="19"/>
  <c r="AG36" i="1"/>
  <c r="AF21" i="19" s="1"/>
  <c r="AF12" i="19"/>
  <c r="G40" i="1"/>
  <c r="F25" i="19" s="1"/>
  <c r="G45" i="1"/>
  <c r="F30" i="19" s="1"/>
  <c r="Q31" i="1"/>
  <c r="P16" i="19" s="1"/>
  <c r="Q36" i="1"/>
  <c r="P21" i="19" s="1"/>
  <c r="P12" i="19"/>
  <c r="B49" i="1"/>
  <c r="A16" i="19"/>
  <c r="B35" i="1"/>
  <c r="B52" i="1"/>
  <c r="B53" i="1"/>
  <c r="B50" i="1"/>
  <c r="B51" i="1"/>
  <c r="B45" i="1"/>
  <c r="A30" i="19" s="1"/>
  <c r="CJ52" i="1"/>
  <c r="CJ61" i="1" s="1"/>
  <c r="CJ35" i="1"/>
  <c r="BT52" i="1"/>
  <c r="BT61" i="1" s="1"/>
  <c r="BT49" i="1"/>
  <c r="BT31" i="1"/>
  <c r="BL31" i="1"/>
  <c r="BL53" i="1"/>
  <c r="BL62" i="1" s="1"/>
  <c r="BL35" i="1"/>
  <c r="BL51" i="1"/>
  <c r="BL60" i="1" s="1"/>
  <c r="BL52" i="1"/>
  <c r="BL61" i="1" s="1"/>
  <c r="BL50" i="1"/>
  <c r="BL59" i="1" s="1"/>
  <c r="BL49" i="1"/>
  <c r="AV50" i="1"/>
  <c r="AV31" i="1"/>
  <c r="AU16" i="19" s="1"/>
  <c r="AV53" i="1"/>
  <c r="AV49" i="1"/>
  <c r="AV35" i="1"/>
  <c r="Y36" i="1"/>
  <c r="X21" i="19" s="1"/>
  <c r="Y31" i="1"/>
  <c r="X16" i="19" s="1"/>
  <c r="AO31" i="1"/>
  <c r="AN16" i="19" s="1"/>
  <c r="AO36" i="1"/>
  <c r="AN21" i="19" s="1"/>
  <c r="AO45" i="1"/>
  <c r="AO40" i="1"/>
  <c r="X45" i="1"/>
  <c r="W30" i="19" s="1"/>
  <c r="X40" i="1"/>
  <c r="W25" i="19" s="1"/>
  <c r="X31" i="1"/>
  <c r="W16" i="19" s="1"/>
  <c r="AG57" i="1"/>
  <c r="AF42" i="19" s="1"/>
  <c r="AG31" i="1"/>
  <c r="AF16" i="19" s="1"/>
  <c r="AG45" i="1"/>
  <c r="I57" i="1"/>
  <c r="H42" i="19" s="1"/>
  <c r="I31" i="1"/>
  <c r="H16" i="19" s="1"/>
  <c r="CQ40" i="1"/>
  <c r="CQ45" i="1"/>
  <c r="CH35" i="1"/>
  <c r="CH53" i="1"/>
  <c r="CH62" i="1" s="1"/>
  <c r="CG35" i="1"/>
  <c r="CG52" i="1"/>
  <c r="CG61" i="1" s="1"/>
  <c r="CG49" i="1"/>
  <c r="CG50" i="1"/>
  <c r="CG59" i="1" s="1"/>
  <c r="CG51" i="1"/>
  <c r="CG60" i="1" s="1"/>
  <c r="CF49" i="1"/>
  <c r="CF53" i="1"/>
  <c r="CF62" i="1" s="1"/>
  <c r="CF51" i="1"/>
  <c r="CF60" i="1" s="1"/>
  <c r="CF52" i="1"/>
  <c r="CF61" i="1" s="1"/>
  <c r="CE49" i="1"/>
  <c r="CE53" i="1"/>
  <c r="CE62" i="1" s="1"/>
  <c r="CE51" i="1"/>
  <c r="CE60" i="1" s="1"/>
  <c r="BZ53" i="1"/>
  <c r="BZ62" i="1" s="1"/>
  <c r="BZ49" i="1"/>
  <c r="BZ52" i="1"/>
  <c r="BZ61" i="1" s="1"/>
  <c r="BO52" i="1"/>
  <c r="BO61" i="1" s="1"/>
  <c r="BO50" i="1"/>
  <c r="BO59" i="1" s="1"/>
  <c r="BO51" i="1"/>
  <c r="BO60" i="1" s="1"/>
  <c r="BR50" i="1"/>
  <c r="BR59" i="1" s="1"/>
  <c r="BR52" i="1"/>
  <c r="BR61" i="1" s="1"/>
  <c r="BR53" i="1"/>
  <c r="BR62" i="1" s="1"/>
  <c r="BR51" i="1"/>
  <c r="BR60" i="1" s="1"/>
  <c r="BN51" i="1"/>
  <c r="BN60" i="1" s="1"/>
  <c r="BN52" i="1"/>
  <c r="BN61" i="1" s="1"/>
  <c r="BN50" i="1"/>
  <c r="BN59" i="1" s="1"/>
  <c r="BJ53" i="1"/>
  <c r="BJ62" i="1" s="1"/>
  <c r="BJ35" i="1"/>
  <c r="AY49" i="1"/>
  <c r="AY51" i="1"/>
  <c r="AY60" i="1" s="1"/>
  <c r="AY35" i="1"/>
  <c r="AY50" i="1"/>
  <c r="AY59" i="1" s="1"/>
  <c r="AY53" i="1"/>
  <c r="AY62" i="1" s="1"/>
  <c r="AY52" i="1"/>
  <c r="AY61" i="1" s="1"/>
  <c r="AX52" i="1"/>
  <c r="AX61" i="1" s="1"/>
  <c r="AX50" i="1"/>
  <c r="AX59" i="1" s="1"/>
  <c r="AX53" i="1"/>
  <c r="AX62" i="1" s="1"/>
  <c r="AX51" i="1"/>
  <c r="AX60" i="1" s="1"/>
  <c r="AX49" i="1"/>
  <c r="AX35" i="1"/>
  <c r="BB51" i="1"/>
  <c r="BB60" i="1" s="1"/>
  <c r="BB50" i="1"/>
  <c r="BB59" i="1" s="1"/>
  <c r="BB49" i="1"/>
  <c r="BA53" i="1"/>
  <c r="BA62" i="1" s="1"/>
  <c r="BA52" i="1"/>
  <c r="BA61" i="1" s="1"/>
  <c r="BA51" i="1"/>
  <c r="BA60" i="1" s="1"/>
  <c r="AZ51" i="1"/>
  <c r="AZ60" i="1" s="1"/>
  <c r="AZ49" i="1"/>
  <c r="AZ35" i="1"/>
  <c r="AZ52" i="1"/>
  <c r="AZ61" i="1" s="1"/>
  <c r="AU52" i="1"/>
  <c r="AU51" i="1"/>
  <c r="AE50" i="1"/>
  <c r="AE35" i="1"/>
  <c r="G31" i="1"/>
  <c r="F16" i="19" s="1"/>
  <c r="G35" i="1"/>
  <c r="G52" i="1"/>
  <c r="G49" i="1"/>
  <c r="G51" i="1"/>
  <c r="G53" i="1"/>
  <c r="G50" i="1"/>
  <c r="F31" i="1"/>
  <c r="E16" i="19" s="1"/>
  <c r="E12" i="19"/>
  <c r="E31" i="1"/>
  <c r="D16" i="19" s="1"/>
  <c r="E35" i="1"/>
  <c r="AP50" i="1"/>
  <c r="AP53" i="1"/>
  <c r="AP49" i="1"/>
  <c r="AP52" i="1"/>
  <c r="AJ31" i="1"/>
  <c r="AI16" i="19" s="1"/>
  <c r="AJ45" i="1"/>
  <c r="AI30" i="19" s="1"/>
  <c r="AA40" i="1"/>
  <c r="Z25" i="19" s="1"/>
  <c r="AA45" i="1"/>
  <c r="Z30" i="19" s="1"/>
  <c r="AA49" i="1"/>
  <c r="R52" i="1"/>
  <c r="R45" i="1"/>
  <c r="Q30" i="19" s="1"/>
  <c r="R50" i="1"/>
  <c r="R31" i="1"/>
  <c r="Q16" i="19" s="1"/>
  <c r="R35" i="1"/>
  <c r="R53" i="1"/>
  <c r="R49" i="1"/>
  <c r="R51" i="1"/>
  <c r="D45" i="1"/>
  <c r="C30" i="19" s="1"/>
  <c r="D52" i="1"/>
  <c r="T51" i="1"/>
  <c r="T45" i="1"/>
  <c r="S30" i="19" s="1"/>
  <c r="AB51" i="1"/>
  <c r="AB45" i="1"/>
  <c r="AA30" i="19" s="1"/>
  <c r="J52" i="1"/>
  <c r="J31" i="1"/>
  <c r="I16" i="19" s="1"/>
  <c r="J50" i="1"/>
  <c r="J53" i="1"/>
  <c r="J45" i="1"/>
  <c r="J35" i="1"/>
  <c r="J49" i="1"/>
  <c r="Y12" i="19"/>
  <c r="Z45" i="1"/>
  <c r="Z40" i="1"/>
  <c r="Z30" i="1"/>
  <c r="Y15" i="19" s="1"/>
  <c r="S30" i="1"/>
  <c r="R15" i="19" s="1"/>
  <c r="S45" i="1"/>
  <c r="S51" i="1"/>
  <c r="S53" i="1"/>
  <c r="CR49" i="1"/>
  <c r="CR52" i="1"/>
  <c r="CR61" i="1" s="1"/>
  <c r="CB53" i="1"/>
  <c r="CB62" i="1" s="1"/>
  <c r="CB52" i="1"/>
  <c r="CB61" i="1" s="1"/>
  <c r="CB31" i="1"/>
  <c r="CB49" i="1"/>
  <c r="P52" i="1"/>
  <c r="P50" i="1"/>
  <c r="P51" i="1"/>
  <c r="P53" i="1"/>
  <c r="P35" i="1"/>
  <c r="P49" i="1"/>
  <c r="H50" i="1"/>
  <c r="H49" i="1"/>
  <c r="H53" i="1"/>
  <c r="H51" i="1"/>
  <c r="H52" i="1"/>
  <c r="CF35" i="1"/>
  <c r="CF45" i="1"/>
  <c r="CF50" i="1"/>
  <c r="CF59" i="1" s="1"/>
  <c r="CE52" i="1"/>
  <c r="CE61" i="1" s="1"/>
  <c r="CE45" i="1"/>
  <c r="CE40" i="1"/>
  <c r="CE50" i="1"/>
  <c r="CE59" i="1" s="1"/>
  <c r="CE35" i="1"/>
  <c r="BZ50" i="1"/>
  <c r="BZ59" i="1" s="1"/>
  <c r="BZ35" i="1"/>
  <c r="BZ51" i="1"/>
  <c r="BZ60" i="1" s="1"/>
  <c r="BY35" i="1"/>
  <c r="BY53" i="1"/>
  <c r="BY62" i="1" s="1"/>
  <c r="BY52" i="1"/>
  <c r="BY61" i="1" s="1"/>
  <c r="BY50" i="1"/>
  <c r="BY59" i="1" s="1"/>
  <c r="BY49" i="1"/>
  <c r="BX35" i="1"/>
  <c r="BX51" i="1"/>
  <c r="BX60" i="1" s="1"/>
  <c r="BX49" i="1"/>
  <c r="BX52" i="1"/>
  <c r="BX61" i="1" s="1"/>
  <c r="BX50" i="1"/>
  <c r="BX59" i="1" s="1"/>
  <c r="BX53" i="1"/>
  <c r="BX62" i="1" s="1"/>
  <c r="BW35" i="1"/>
  <c r="BW50" i="1"/>
  <c r="BW59" i="1" s="1"/>
  <c r="BW51" i="1"/>
  <c r="BW60" i="1" s="1"/>
  <c r="BW52" i="1"/>
  <c r="BW61" i="1" s="1"/>
  <c r="BW53" i="1"/>
  <c r="BW62" i="1" s="1"/>
  <c r="BW49" i="1"/>
  <c r="BV35" i="1"/>
  <c r="BV51" i="1"/>
  <c r="BV60" i="1" s="1"/>
  <c r="BV49" i="1"/>
  <c r="BV50" i="1"/>
  <c r="BV59" i="1" s="1"/>
  <c r="BV52" i="1"/>
  <c r="BV61" i="1" s="1"/>
  <c r="BQ35" i="1"/>
  <c r="BQ45" i="1"/>
  <c r="BQ30" i="1"/>
  <c r="BQ31" i="1"/>
  <c r="BQ40" i="1"/>
  <c r="BQ51" i="1"/>
  <c r="BQ60" i="1" s="1"/>
  <c r="BQ53" i="1"/>
  <c r="BQ62" i="1" s="1"/>
  <c r="BQ49" i="1"/>
  <c r="BQ52" i="1"/>
  <c r="BQ61" i="1" s="1"/>
  <c r="BP35" i="1"/>
  <c r="BP50" i="1"/>
  <c r="BP59" i="1" s="1"/>
  <c r="BP45" i="1"/>
  <c r="BP53" i="1"/>
  <c r="BP62" i="1" s="1"/>
  <c r="BP40" i="1"/>
  <c r="BP52" i="1"/>
  <c r="BP61" i="1" s="1"/>
  <c r="BP51" i="1"/>
  <c r="BP60" i="1" s="1"/>
  <c r="BO35" i="1"/>
  <c r="BO53" i="1"/>
  <c r="BO62" i="1" s="1"/>
  <c r="BO49" i="1"/>
  <c r="BS45" i="1"/>
  <c r="BS30" i="1"/>
  <c r="BS40" i="1"/>
  <c r="BR35" i="1"/>
  <c r="BR49" i="1"/>
  <c r="BR40" i="1"/>
  <c r="BR45" i="1"/>
  <c r="BN35" i="1"/>
  <c r="BN53" i="1"/>
  <c r="BN62" i="1" s="1"/>
  <c r="BN49" i="1"/>
  <c r="BF50" i="1"/>
  <c r="BF59" i="1" s="1"/>
  <c r="BF49" i="1"/>
  <c r="BK49" i="1"/>
  <c r="BK53" i="1"/>
  <c r="BK62" i="1" s="1"/>
  <c r="BI52" i="1"/>
  <c r="BI61" i="1" s="1"/>
  <c r="BI45" i="1"/>
  <c r="BI40" i="1"/>
  <c r="BI51" i="1"/>
  <c r="BI60" i="1" s="1"/>
  <c r="AT35" i="1"/>
  <c r="AT51" i="1"/>
  <c r="AT40" i="1"/>
  <c r="AT50" i="1"/>
  <c r="AT31" i="1"/>
  <c r="AS16" i="19" s="1"/>
  <c r="AT52" i="1"/>
  <c r="AT53" i="1"/>
  <c r="AT49" i="1"/>
  <c r="AU50" i="1"/>
  <c r="AU40" i="1"/>
  <c r="AT25" i="19" s="1"/>
  <c r="AU45" i="1"/>
  <c r="AT30" i="19" s="1"/>
  <c r="AU49" i="1"/>
  <c r="AR35" i="1"/>
  <c r="AR31" i="1"/>
  <c r="AQ16" i="19" s="1"/>
  <c r="AR52" i="1"/>
  <c r="AR49" i="1"/>
  <c r="AR53" i="1"/>
  <c r="AR30" i="1"/>
  <c r="AQ15" i="19" s="1"/>
  <c r="AR51" i="1"/>
  <c r="AR50" i="1"/>
  <c r="AE51" i="1"/>
  <c r="AE49" i="1"/>
  <c r="AE31" i="1"/>
  <c r="AD16" i="19" s="1"/>
  <c r="AD31" i="1"/>
  <c r="AC16" i="19" s="1"/>
  <c r="AD53" i="1"/>
  <c r="AD52" i="1"/>
  <c r="AD51" i="1"/>
  <c r="AD50" i="1"/>
  <c r="AD35" i="1"/>
  <c r="AD49" i="1"/>
  <c r="W52" i="1"/>
  <c r="W51" i="1"/>
  <c r="W49" i="1"/>
  <c r="W31" i="1"/>
  <c r="V16" i="19" s="1"/>
  <c r="V40" i="1"/>
  <c r="U25" i="19" s="1"/>
  <c r="V50" i="1"/>
  <c r="V31" i="1"/>
  <c r="U16" i="19" s="1"/>
  <c r="O53" i="1"/>
  <c r="O51" i="1"/>
  <c r="O35" i="1"/>
  <c r="O52" i="1"/>
  <c r="O50" i="1"/>
  <c r="O31" i="1"/>
  <c r="N16" i="19" s="1"/>
  <c r="O49" i="1"/>
  <c r="N51" i="1"/>
  <c r="N49" i="1"/>
  <c r="N52" i="1"/>
  <c r="N50" i="1"/>
  <c r="N35" i="1"/>
  <c r="N31" i="1"/>
  <c r="M16" i="19" s="1"/>
  <c r="N53" i="1"/>
  <c r="U31" i="1"/>
  <c r="T16" i="19" s="1"/>
  <c r="U50" i="1"/>
  <c r="U49" i="1"/>
  <c r="U35" i="1"/>
  <c r="U52" i="1"/>
  <c r="U53" i="1"/>
  <c r="U51" i="1"/>
  <c r="AQ35" i="1"/>
  <c r="AQ49" i="1"/>
  <c r="AQ51" i="1"/>
  <c r="AQ31" i="1"/>
  <c r="AP16" i="19" s="1"/>
  <c r="AQ53" i="1"/>
  <c r="AQ52" i="1"/>
  <c r="AQ50" i="1"/>
  <c r="AC35" i="1"/>
  <c r="AC52" i="1"/>
  <c r="AC31" i="1"/>
  <c r="AB16" i="19" s="1"/>
  <c r="AC49" i="1"/>
  <c r="AC45" i="1"/>
  <c r="AB30" i="19" s="1"/>
  <c r="M50" i="1"/>
  <c r="M53" i="1"/>
  <c r="M52" i="1"/>
  <c r="M51" i="1"/>
  <c r="M40" i="1"/>
  <c r="M45" i="1"/>
  <c r="M49" i="1"/>
  <c r="M31" i="1"/>
  <c r="L16" i="19" s="1"/>
  <c r="AS31" i="1"/>
  <c r="AR16" i="19" s="1"/>
  <c r="AS49" i="1"/>
  <c r="AS50" i="1"/>
  <c r="AS52" i="1"/>
  <c r="AS51" i="1"/>
  <c r="AP31" i="1"/>
  <c r="AO16" i="19" s="1"/>
  <c r="AP51" i="1"/>
  <c r="AJ53" i="1"/>
  <c r="AJ49" i="1"/>
  <c r="AJ52" i="1"/>
  <c r="AJ35" i="1"/>
  <c r="AA53" i="1"/>
  <c r="AA52" i="1"/>
  <c r="AA51" i="1"/>
  <c r="AA35" i="1"/>
  <c r="R30" i="1"/>
  <c r="Q15" i="19" s="1"/>
  <c r="R40" i="1"/>
  <c r="D30" i="1"/>
  <c r="C15" i="19" s="1"/>
  <c r="D31" i="1"/>
  <c r="C16" i="19" s="1"/>
  <c r="D40" i="1"/>
  <c r="C25" i="19" s="1"/>
  <c r="D51" i="1"/>
  <c r="D35" i="1"/>
  <c r="D53" i="1"/>
  <c r="T52" i="1"/>
  <c r="T49" i="1"/>
  <c r="T53" i="1"/>
  <c r="T40" i="1"/>
  <c r="S25" i="19" s="1"/>
  <c r="T50" i="1"/>
  <c r="T31" i="1"/>
  <c r="S16" i="19" s="1"/>
  <c r="T35" i="1"/>
  <c r="AB40" i="1"/>
  <c r="AA25" i="19" s="1"/>
  <c r="AB35" i="1"/>
  <c r="AB50" i="1"/>
  <c r="AB49" i="1"/>
  <c r="AB53" i="1"/>
  <c r="AB31" i="1"/>
  <c r="AA16" i="19" s="1"/>
  <c r="AB52" i="1"/>
  <c r="J51" i="1"/>
  <c r="J30" i="1"/>
  <c r="I15" i="19" s="1"/>
  <c r="J40" i="1"/>
  <c r="AI31" i="1"/>
  <c r="AH16" i="19" s="1"/>
  <c r="AI35" i="1"/>
  <c r="AI51" i="1"/>
  <c r="AI52" i="1"/>
  <c r="AI49" i="1"/>
  <c r="AI53" i="1"/>
  <c r="AI50" i="1"/>
  <c r="Z52" i="1"/>
  <c r="Z51" i="1"/>
  <c r="Z50" i="1"/>
  <c r="Z31" i="1"/>
  <c r="Y16" i="19" s="1"/>
  <c r="L30" i="1"/>
  <c r="K15" i="19" s="1"/>
  <c r="L31" i="1"/>
  <c r="K16" i="19" s="1"/>
  <c r="L35" i="1"/>
  <c r="L53" i="1"/>
  <c r="L52" i="1"/>
  <c r="L51" i="1"/>
  <c r="L49" i="1"/>
  <c r="L50" i="1"/>
  <c r="L40" i="1"/>
  <c r="K25" i="19" s="1"/>
  <c r="C30" i="1"/>
  <c r="B15" i="19" s="1"/>
  <c r="C53" i="1"/>
  <c r="C31" i="1"/>
  <c r="B16" i="19" s="1"/>
  <c r="C52" i="1"/>
  <c r="C50" i="1"/>
  <c r="C35" i="1"/>
  <c r="C40" i="1"/>
  <c r="B25" i="19" s="1"/>
  <c r="C51" i="1"/>
  <c r="C49" i="1"/>
  <c r="AH30" i="1"/>
  <c r="AG15" i="19" s="1"/>
  <c r="AH51" i="1"/>
  <c r="AH50" i="1"/>
  <c r="AH49" i="1"/>
  <c r="AH31" i="1"/>
  <c r="AG16" i="19" s="1"/>
  <c r="AH52" i="1"/>
  <c r="AH53" i="1"/>
  <c r="AH40" i="1"/>
  <c r="AG25" i="19" s="1"/>
  <c r="AH35" i="1"/>
  <c r="K30" i="1"/>
  <c r="J15" i="19" s="1"/>
  <c r="K50" i="1"/>
  <c r="K40" i="1"/>
  <c r="J25" i="19" s="1"/>
  <c r="K31" i="1"/>
  <c r="J16" i="19" s="1"/>
  <c r="K35" i="1"/>
  <c r="K49" i="1"/>
  <c r="K52" i="1"/>
  <c r="K51" i="1"/>
  <c r="K53" i="1"/>
  <c r="CJ53" i="1"/>
  <c r="CJ62" i="1" s="1"/>
  <c r="CJ50" i="1"/>
  <c r="CJ59" i="1" s="1"/>
  <c r="CR51" i="1"/>
  <c r="CR60" i="1" s="1"/>
  <c r="CR50" i="1"/>
  <c r="CR59" i="1" s="1"/>
  <c r="CR31" i="1"/>
  <c r="BT35" i="1"/>
  <c r="BT53" i="1"/>
  <c r="BT62" i="1" s="1"/>
  <c r="CB51" i="1"/>
  <c r="CB60" i="1" s="1"/>
  <c r="CB50" i="1"/>
  <c r="CB59" i="1" s="1"/>
  <c r="CB35" i="1"/>
  <c r="X50" i="1"/>
  <c r="X52" i="1"/>
  <c r="X35" i="1"/>
  <c r="X53" i="1"/>
  <c r="X49" i="1"/>
  <c r="X51" i="1"/>
  <c r="CI51" i="1"/>
  <c r="CI60" i="1" s="1"/>
  <c r="CI53" i="1"/>
  <c r="CI62" i="1" s="1"/>
  <c r="CI52" i="1"/>
  <c r="CI61" i="1" s="1"/>
  <c r="CI49" i="1"/>
  <c r="CI50" i="1"/>
  <c r="CI59" i="1" s="1"/>
  <c r="CI35" i="1"/>
  <c r="CA49" i="1"/>
  <c r="CA50" i="1"/>
  <c r="CA59" i="1" s="1"/>
  <c r="CA52" i="1"/>
  <c r="CA61" i="1" s="1"/>
  <c r="CA35" i="1"/>
  <c r="BK51" i="1"/>
  <c r="BK60" i="1" s="1"/>
  <c r="BK31" i="1"/>
  <c r="BC50" i="1"/>
  <c r="BC59" i="1" s="1"/>
  <c r="BC52" i="1"/>
  <c r="BC61" i="1" s="1"/>
  <c r="BC49" i="1"/>
  <c r="BC51" i="1"/>
  <c r="BC60" i="1" s="1"/>
  <c r="BC53" i="1"/>
  <c r="BC62" i="1" s="1"/>
  <c r="BC35" i="1"/>
  <c r="AU31" i="1"/>
  <c r="AT16" i="19" s="1"/>
  <c r="AU53" i="1"/>
  <c r="AU35" i="1"/>
  <c r="AM31" i="1"/>
  <c r="AL16" i="19" s="1"/>
  <c r="AM50" i="1"/>
  <c r="AM51" i="1"/>
  <c r="AM35" i="1"/>
  <c r="AM49" i="1"/>
  <c r="AM53" i="1"/>
  <c r="AM52" i="1"/>
  <c r="AL35" i="1"/>
  <c r="AL51" i="1"/>
  <c r="AL49" i="1"/>
  <c r="AL50" i="1"/>
  <c r="AL52" i="1"/>
  <c r="AL53" i="1"/>
  <c r="AE30" i="1"/>
  <c r="AD15" i="19" s="1"/>
  <c r="AE52" i="1"/>
  <c r="AE53" i="1"/>
  <c r="AE45" i="1"/>
  <c r="AE40" i="1"/>
  <c r="W35" i="1"/>
  <c r="W50" i="1"/>
  <c r="AK52" i="1"/>
  <c r="AK53" i="1"/>
  <c r="AK49" i="1"/>
  <c r="AS53" i="1"/>
  <c r="AS35" i="1"/>
  <c r="AP45" i="1"/>
  <c r="AO30" i="19" s="1"/>
  <c r="AP35" i="1"/>
  <c r="AJ30" i="1"/>
  <c r="AI15" i="19" s="1"/>
  <c r="AJ40" i="1"/>
  <c r="AI30" i="1"/>
  <c r="AH15" i="19" s="1"/>
  <c r="AI40" i="1"/>
  <c r="Q40" i="1"/>
  <c r="Q57" i="1"/>
  <c r="P42" i="19" s="1"/>
  <c r="Q30" i="1"/>
  <c r="P15" i="19" s="1"/>
  <c r="Q45" i="1"/>
  <c r="BD49" i="1"/>
  <c r="BD51" i="1"/>
  <c r="BD60" i="1" s="1"/>
  <c r="BD52" i="1"/>
  <c r="BD61" i="1" s="1"/>
  <c r="BD35" i="1"/>
  <c r="BD50" i="1"/>
  <c r="BD59" i="1" s="1"/>
  <c r="BD53" i="1"/>
  <c r="BD62" i="1" s="1"/>
  <c r="BD30" i="1"/>
  <c r="AF49" i="1"/>
  <c r="AF50" i="1"/>
  <c r="AF51" i="1"/>
  <c r="AF52" i="1"/>
  <c r="AF35" i="1"/>
  <c r="AF53" i="1"/>
  <c r="CN51" i="1"/>
  <c r="CN60" i="1" s="1"/>
  <c r="CN53" i="1"/>
  <c r="CN62" i="1" s="1"/>
  <c r="CN49" i="1"/>
  <c r="CN52" i="1"/>
  <c r="CN61" i="1" s="1"/>
  <c r="CQ50" i="1"/>
  <c r="CQ59" i="1" s="1"/>
  <c r="CQ51" i="1"/>
  <c r="CQ60" i="1" s="1"/>
  <c r="CQ31" i="1"/>
  <c r="BS50" i="1"/>
  <c r="BS59" i="1" s="1"/>
  <c r="BS49" i="1"/>
  <c r="BS53" i="1"/>
  <c r="BS62" i="1" s="1"/>
  <c r="BS35" i="1"/>
  <c r="BS52" i="1"/>
  <c r="BS61" i="1" s="1"/>
  <c r="BS51" i="1"/>
  <c r="BS60" i="1" s="1"/>
  <c r="BS31" i="1"/>
  <c r="BG52" i="1"/>
  <c r="BG61" i="1" s="1"/>
  <c r="BG50" i="1"/>
  <c r="BG59" i="1" s="1"/>
  <c r="BG35" i="1"/>
  <c r="BG51" i="1"/>
  <c r="BG60" i="1" s="1"/>
  <c r="BF53" i="1"/>
  <c r="BF62" i="1" s="1"/>
  <c r="BF51" i="1"/>
  <c r="BF60" i="1" s="1"/>
  <c r="BF35" i="1"/>
  <c r="BF52" i="1"/>
  <c r="BF61" i="1" s="1"/>
  <c r="BJ52" i="1"/>
  <c r="BJ61" i="1" s="1"/>
  <c r="BJ49" i="1"/>
  <c r="BJ50" i="1"/>
  <c r="BJ59" i="1" s="1"/>
  <c r="BI53" i="1"/>
  <c r="BI62" i="1" s="1"/>
  <c r="BI50" i="1"/>
  <c r="BI59" i="1" s="1"/>
  <c r="BH35" i="1"/>
  <c r="BH49" i="1"/>
  <c r="BH50" i="1"/>
  <c r="BH59" i="1" s="1"/>
  <c r="BH52" i="1"/>
  <c r="BH61" i="1" s="1"/>
  <c r="F51" i="1"/>
  <c r="F50" i="1"/>
  <c r="F35" i="1"/>
  <c r="F49" i="1"/>
  <c r="F52" i="1"/>
  <c r="F53" i="1"/>
  <c r="E49" i="1"/>
  <c r="E51" i="1"/>
  <c r="E53" i="1"/>
  <c r="E50" i="1"/>
  <c r="E52" i="1"/>
  <c r="V53" i="1"/>
  <c r="V52" i="1"/>
  <c r="V51" i="1"/>
  <c r="V35" i="1"/>
  <c r="V49" i="1"/>
  <c r="AQ45" i="1"/>
  <c r="AQ40" i="1"/>
  <c r="AC53" i="1"/>
  <c r="AC50" i="1"/>
  <c r="AC51" i="1"/>
  <c r="AK50" i="1"/>
  <c r="AK51" i="1"/>
  <c r="AK35" i="1"/>
  <c r="S36" i="1" l="1"/>
  <c r="R21" i="19" s="1"/>
  <c r="S56" i="1"/>
  <c r="R20" i="19"/>
  <c r="S41" i="1"/>
  <c r="R26" i="19" s="1"/>
  <c r="S57" i="1"/>
  <c r="R42" i="19" s="1"/>
  <c r="R34" i="19"/>
  <c r="S58" i="1"/>
  <c r="R43" i="19" s="1"/>
  <c r="AN46" i="1"/>
  <c r="AM31" i="19" s="1"/>
  <c r="L20" i="19"/>
  <c r="M56" i="1"/>
  <c r="M36" i="1"/>
  <c r="L21" i="19" s="1"/>
  <c r="CN46" i="1"/>
  <c r="CN56" i="1"/>
  <c r="CN36" i="1"/>
  <c r="CN41" i="1"/>
  <c r="R37" i="19"/>
  <c r="S61" i="1"/>
  <c r="R46" i="19" s="1"/>
  <c r="Y20" i="19"/>
  <c r="Z56" i="1"/>
  <c r="Z36" i="1"/>
  <c r="Y21" i="19" s="1"/>
  <c r="Y38" i="19"/>
  <c r="Z62" i="1"/>
  <c r="Y47" i="19" s="1"/>
  <c r="Z57" i="1"/>
  <c r="Y42" i="19" s="1"/>
  <c r="Z58" i="1"/>
  <c r="Y43" i="19" s="1"/>
  <c r="Y34" i="19"/>
  <c r="BI56" i="1"/>
  <c r="BI36" i="1"/>
  <c r="AJ59" i="1"/>
  <c r="AI44" i="19" s="1"/>
  <c r="AI35" i="19"/>
  <c r="AJ60" i="1"/>
  <c r="AI45" i="19" s="1"/>
  <c r="AI36" i="19"/>
  <c r="S59" i="1"/>
  <c r="R44" i="19" s="1"/>
  <c r="R35" i="19"/>
  <c r="BI46" i="1"/>
  <c r="BI41" i="1"/>
  <c r="BI57" i="1"/>
  <c r="BI58" i="1"/>
  <c r="BA41" i="1"/>
  <c r="BA36" i="1"/>
  <c r="BA46" i="1"/>
  <c r="BA56" i="1"/>
  <c r="BA58" i="1"/>
  <c r="BA57" i="1"/>
  <c r="AA59" i="1"/>
  <c r="Z44" i="19" s="1"/>
  <c r="Z35" i="19"/>
  <c r="C34" i="19"/>
  <c r="D58" i="1"/>
  <c r="C43" i="19" s="1"/>
  <c r="D57" i="1"/>
  <c r="C42" i="19" s="1"/>
  <c r="D59" i="1"/>
  <c r="C44" i="19" s="1"/>
  <c r="C35" i="19"/>
  <c r="B46" i="1"/>
  <c r="A31" i="19" s="1"/>
  <c r="AW46" i="1"/>
  <c r="AV31" i="19" s="1"/>
  <c r="AV30" i="19"/>
  <c r="AW41" i="1"/>
  <c r="AV26" i="19" s="1"/>
  <c r="AV25" i="19"/>
  <c r="Y46" i="1"/>
  <c r="X31" i="19" s="1"/>
  <c r="X30" i="19"/>
  <c r="CP46" i="1"/>
  <c r="CM41" i="1"/>
  <c r="V38" i="19"/>
  <c r="W62" i="1"/>
  <c r="V47" i="19" s="1"/>
  <c r="CR46" i="1"/>
  <c r="CR41" i="1"/>
  <c r="CQ36" i="1"/>
  <c r="CQ56" i="1"/>
  <c r="CM56" i="1"/>
  <c r="CM46" i="1"/>
  <c r="CM36" i="1"/>
  <c r="CO46" i="1"/>
  <c r="CO56" i="1"/>
  <c r="CO41" i="1"/>
  <c r="CO36" i="1"/>
  <c r="CP41" i="1"/>
  <c r="BK41" i="1"/>
  <c r="BK46" i="1"/>
  <c r="CR36" i="1"/>
  <c r="CR56" i="1"/>
  <c r="CQ57" i="1"/>
  <c r="CQ58" i="1"/>
  <c r="CL58" i="1"/>
  <c r="CL57" i="1"/>
  <c r="CP57" i="1"/>
  <c r="CP58" i="1"/>
  <c r="CM58" i="1"/>
  <c r="CM57" i="1"/>
  <c r="CH58" i="1"/>
  <c r="CH57" i="1"/>
  <c r="CO57" i="1"/>
  <c r="CO58" i="1"/>
  <c r="P41" i="1"/>
  <c r="O26" i="19" s="1"/>
  <c r="X25" i="19"/>
  <c r="Y41" i="1"/>
  <c r="X26" i="19" s="1"/>
  <c r="CJ57" i="1"/>
  <c r="CJ58" i="1"/>
  <c r="CD41" i="1"/>
  <c r="CD36" i="1"/>
  <c r="CD58" i="1"/>
  <c r="CD57" i="1"/>
  <c r="AV61" i="1"/>
  <c r="AU46" i="19" s="1"/>
  <c r="AU37" i="19"/>
  <c r="AM25" i="19"/>
  <c r="AN41" i="1"/>
  <c r="AM26" i="19" s="1"/>
  <c r="AF25" i="19"/>
  <c r="AG41" i="1"/>
  <c r="AF26" i="19" s="1"/>
  <c r="H25" i="19"/>
  <c r="I41" i="1"/>
  <c r="H26" i="19" s="1"/>
  <c r="I46" i="1"/>
  <c r="H31" i="19" s="1"/>
  <c r="H30" i="19"/>
  <c r="G20" i="19"/>
  <c r="H56" i="1"/>
  <c r="H36" i="1"/>
  <c r="G21" i="19" s="1"/>
  <c r="H41" i="1"/>
  <c r="G26" i="19" s="1"/>
  <c r="H46" i="1"/>
  <c r="G31" i="19" s="1"/>
  <c r="BP57" i="1"/>
  <c r="BP58" i="1"/>
  <c r="BG57" i="1"/>
  <c r="BG58" i="1"/>
  <c r="BK56" i="1"/>
  <c r="BK36" i="1"/>
  <c r="CD46" i="1"/>
  <c r="CD56" i="1"/>
  <c r="CL56" i="1"/>
  <c r="CL36" i="1"/>
  <c r="CL46" i="1"/>
  <c r="CL41" i="1"/>
  <c r="CP36" i="1"/>
  <c r="CP56" i="1"/>
  <c r="AN61" i="1"/>
  <c r="AM46" i="19" s="1"/>
  <c r="AM37" i="19"/>
  <c r="AN56" i="1"/>
  <c r="AM20" i="19"/>
  <c r="AN36" i="1"/>
  <c r="AM21" i="19" s="1"/>
  <c r="CQ41" i="1"/>
  <c r="CQ46" i="1"/>
  <c r="AV60" i="1"/>
  <c r="AU45" i="19" s="1"/>
  <c r="AU36" i="19"/>
  <c r="AN62" i="1"/>
  <c r="AM47" i="19" s="1"/>
  <c r="AM38" i="19"/>
  <c r="BB56" i="1"/>
  <c r="BB36" i="1"/>
  <c r="BB41" i="1"/>
  <c r="BB46" i="1"/>
  <c r="AM34" i="19"/>
  <c r="AN58" i="1"/>
  <c r="AM43" i="19" s="1"/>
  <c r="AN57" i="1"/>
  <c r="AM42" i="19" s="1"/>
  <c r="BR41" i="1"/>
  <c r="BR46" i="1"/>
  <c r="AN30" i="19"/>
  <c r="AO46" i="1"/>
  <c r="AN31" i="19" s="1"/>
  <c r="AO41" i="1"/>
  <c r="AN26" i="19" s="1"/>
  <c r="AN25" i="19"/>
  <c r="AG46" i="1"/>
  <c r="AF31" i="19" s="1"/>
  <c r="AF30" i="19"/>
  <c r="AN59" i="1"/>
  <c r="AM44" i="19" s="1"/>
  <c r="AM35" i="19"/>
  <c r="AN60" i="1"/>
  <c r="AM45" i="19" s="1"/>
  <c r="AM36" i="19"/>
  <c r="CJ36" i="1"/>
  <c r="CJ56" i="1"/>
  <c r="CG36" i="1"/>
  <c r="CG56" i="1"/>
  <c r="CG58" i="1"/>
  <c r="CG57" i="1"/>
  <c r="CF57" i="1"/>
  <c r="CF58" i="1"/>
  <c r="BW57" i="1"/>
  <c r="BW58" i="1"/>
  <c r="BV57" i="1"/>
  <c r="BV58" i="1"/>
  <c r="B58" i="1"/>
  <c r="A43" i="19" s="1"/>
  <c r="A34" i="19"/>
  <c r="B57" i="1"/>
  <c r="A42" i="19" s="1"/>
  <c r="A20" i="19"/>
  <c r="B36" i="1"/>
  <c r="A21" i="19" s="1"/>
  <c r="B56" i="1"/>
  <c r="B41" i="1"/>
  <c r="A26" i="19" s="1"/>
  <c r="B61" i="1"/>
  <c r="A46" i="19" s="1"/>
  <c r="A37" i="19"/>
  <c r="B62" i="1"/>
  <c r="A47" i="19" s="1"/>
  <c r="A38" i="19"/>
  <c r="A35" i="19"/>
  <c r="B59" i="1"/>
  <c r="A44" i="19" s="1"/>
  <c r="CJ46" i="1"/>
  <c r="CJ41" i="1"/>
  <c r="BT58" i="1"/>
  <c r="BT57" i="1"/>
  <c r="BL41" i="1"/>
  <c r="BL56" i="1"/>
  <c r="BL36" i="1"/>
  <c r="BL46" i="1"/>
  <c r="BL58" i="1"/>
  <c r="BL57" i="1"/>
  <c r="AV59" i="1"/>
  <c r="AU44" i="19" s="1"/>
  <c r="AU35" i="19"/>
  <c r="AV58" i="1"/>
  <c r="AU43" i="19" s="1"/>
  <c r="AU34" i="19"/>
  <c r="AV57" i="1"/>
  <c r="AU42" i="19" s="1"/>
  <c r="CH56" i="1"/>
  <c r="CH36" i="1"/>
  <c r="CH41" i="1"/>
  <c r="CH46" i="1"/>
  <c r="CG46" i="1"/>
  <c r="CG41" i="1"/>
  <c r="CE58" i="1"/>
  <c r="CE57" i="1"/>
  <c r="BZ57" i="1"/>
  <c r="BZ58" i="1"/>
  <c r="CF56" i="1"/>
  <c r="CF46" i="1"/>
  <c r="BY46" i="1"/>
  <c r="BY41" i="1"/>
  <c r="BX56" i="1"/>
  <c r="BX36" i="1"/>
  <c r="BV56" i="1"/>
  <c r="BV41" i="1"/>
  <c r="BQ56" i="1"/>
  <c r="BQ46" i="1"/>
  <c r="BQ36" i="1"/>
  <c r="BQ41" i="1"/>
  <c r="BP56" i="1"/>
  <c r="BP36" i="1"/>
  <c r="B60" i="1"/>
  <c r="A45" i="19" s="1"/>
  <c r="A36" i="19"/>
  <c r="R36" i="1"/>
  <c r="Q21" i="19" s="1"/>
  <c r="R46" i="1"/>
  <c r="Q31" i="19" s="1"/>
  <c r="R56" i="1"/>
  <c r="Q20" i="19"/>
  <c r="J61" i="1"/>
  <c r="I46" i="19" s="1"/>
  <c r="I37" i="19"/>
  <c r="J62" i="1"/>
  <c r="I47" i="19" s="1"/>
  <c r="I38" i="19"/>
  <c r="I30" i="19"/>
  <c r="J46" i="1"/>
  <c r="I31" i="19" s="1"/>
  <c r="J56" i="1"/>
  <c r="J36" i="1"/>
  <c r="I21" i="19" s="1"/>
  <c r="I20" i="19"/>
  <c r="J57" i="1"/>
  <c r="I42" i="19" s="1"/>
  <c r="I34" i="19"/>
  <c r="J58" i="1"/>
  <c r="I43" i="19" s="1"/>
  <c r="AU38" i="19"/>
  <c r="AV62" i="1"/>
  <c r="AU47" i="19" s="1"/>
  <c r="AV41" i="1"/>
  <c r="AU26" i="19" s="1"/>
  <c r="AV36" i="1"/>
  <c r="AU21" i="19" s="1"/>
  <c r="AV46" i="1"/>
  <c r="AU31" i="19" s="1"/>
  <c r="AU20" i="19"/>
  <c r="AV56" i="1"/>
  <c r="BJ46" i="1"/>
  <c r="BJ41" i="1"/>
  <c r="BJ36" i="1"/>
  <c r="BJ56" i="1"/>
  <c r="AY58" i="1"/>
  <c r="AY57" i="1"/>
  <c r="AY46" i="1"/>
  <c r="AY56" i="1"/>
  <c r="AY41" i="1"/>
  <c r="AY36" i="1"/>
  <c r="AX58" i="1"/>
  <c r="AX57" i="1"/>
  <c r="AX56" i="1"/>
  <c r="AX36" i="1"/>
  <c r="AX41" i="1"/>
  <c r="AX46" i="1"/>
  <c r="BB57" i="1"/>
  <c r="BB58" i="1"/>
  <c r="AZ57" i="1"/>
  <c r="AZ58" i="1"/>
  <c r="AZ56" i="1"/>
  <c r="AZ46" i="1"/>
  <c r="AZ41" i="1"/>
  <c r="AZ36" i="1"/>
  <c r="AT37" i="19"/>
  <c r="AU61" i="1"/>
  <c r="AT46" i="19" s="1"/>
  <c r="AT36" i="19"/>
  <c r="AU60" i="1"/>
  <c r="AT45" i="19" s="1"/>
  <c r="AD35" i="19"/>
  <c r="AE59" i="1"/>
  <c r="AD44" i="19" s="1"/>
  <c r="AD20" i="19"/>
  <c r="AE36" i="1"/>
  <c r="AD21" i="19" s="1"/>
  <c r="AE56" i="1"/>
  <c r="F20" i="19"/>
  <c r="G41" i="1"/>
  <c r="F26" i="19" s="1"/>
  <c r="G46" i="1"/>
  <c r="F31" i="19" s="1"/>
  <c r="G56" i="1"/>
  <c r="G36" i="1"/>
  <c r="F21" i="19" s="1"/>
  <c r="G61" i="1"/>
  <c r="F46" i="19" s="1"/>
  <c r="F37" i="19"/>
  <c r="F34" i="19"/>
  <c r="G57" i="1"/>
  <c r="F42" i="19" s="1"/>
  <c r="G58" i="1"/>
  <c r="F43" i="19" s="1"/>
  <c r="F36" i="19"/>
  <c r="G60" i="1"/>
  <c r="F45" i="19" s="1"/>
  <c r="G62" i="1"/>
  <c r="F47" i="19" s="1"/>
  <c r="F38" i="19"/>
  <c r="G59" i="1"/>
  <c r="F44" i="19" s="1"/>
  <c r="F35" i="19"/>
  <c r="E56" i="1"/>
  <c r="E36" i="1"/>
  <c r="D21" i="19" s="1"/>
  <c r="E46" i="1"/>
  <c r="D31" i="19" s="1"/>
  <c r="D20" i="19"/>
  <c r="E41" i="1"/>
  <c r="D26" i="19" s="1"/>
  <c r="AP59" i="1"/>
  <c r="AO44" i="19" s="1"/>
  <c r="AO35" i="19"/>
  <c r="AP62" i="1"/>
  <c r="AO47" i="19" s="1"/>
  <c r="AO38" i="19"/>
  <c r="AO34" i="19"/>
  <c r="AP57" i="1"/>
  <c r="AO42" i="19" s="1"/>
  <c r="AP58" i="1"/>
  <c r="AO43" i="19" s="1"/>
  <c r="AP61" i="1"/>
  <c r="AO46" i="19" s="1"/>
  <c r="AO37" i="19"/>
  <c r="AA57" i="1"/>
  <c r="Z42" i="19" s="1"/>
  <c r="AA58" i="1"/>
  <c r="Z43" i="19" s="1"/>
  <c r="Z34" i="19"/>
  <c r="R61" i="1"/>
  <c r="Q46" i="19" s="1"/>
  <c r="Q37" i="19"/>
  <c r="R59" i="1"/>
  <c r="Q44" i="19" s="1"/>
  <c r="Q35" i="19"/>
  <c r="Q38" i="19"/>
  <c r="R62" i="1"/>
  <c r="Q47" i="19" s="1"/>
  <c r="Q34" i="19"/>
  <c r="R57" i="1"/>
  <c r="Q42" i="19" s="1"/>
  <c r="R58" i="1"/>
  <c r="Q43" i="19" s="1"/>
  <c r="Q36" i="19"/>
  <c r="R60" i="1"/>
  <c r="Q45" i="19" s="1"/>
  <c r="C37" i="19"/>
  <c r="D61" i="1"/>
  <c r="C46" i="19" s="1"/>
  <c r="T60" i="1"/>
  <c r="S45" i="19" s="1"/>
  <c r="S36" i="19"/>
  <c r="AA36" i="19"/>
  <c r="AB60" i="1"/>
  <c r="AA45" i="19" s="1"/>
  <c r="J59" i="1"/>
  <c r="I44" i="19" s="1"/>
  <c r="I35" i="19"/>
  <c r="Y30" i="19"/>
  <c r="Z46" i="1"/>
  <c r="Y31" i="19" s="1"/>
  <c r="Y25" i="19"/>
  <c r="Z41" i="1"/>
  <c r="Y26" i="19" s="1"/>
  <c r="R30" i="19"/>
  <c r="S46" i="1"/>
  <c r="R31" i="19" s="1"/>
  <c r="S60" i="1"/>
  <c r="R45" i="19" s="1"/>
  <c r="R36" i="19"/>
  <c r="R38" i="19"/>
  <c r="S62" i="1"/>
  <c r="R47" i="19" s="1"/>
  <c r="CR58" i="1"/>
  <c r="CR57" i="1"/>
  <c r="CB57" i="1"/>
  <c r="CB58" i="1"/>
  <c r="BY36" i="1"/>
  <c r="BY56" i="1"/>
  <c r="BY57" i="1"/>
  <c r="BY58" i="1"/>
  <c r="BX58" i="1"/>
  <c r="BX57" i="1"/>
  <c r="BR56" i="1"/>
  <c r="BR36" i="1"/>
  <c r="AT56" i="1"/>
  <c r="AT46" i="1"/>
  <c r="AS31" i="19" s="1"/>
  <c r="AS20" i="19"/>
  <c r="AT36" i="1"/>
  <c r="AS21" i="19" s="1"/>
  <c r="AR56" i="1"/>
  <c r="AQ20" i="19"/>
  <c r="AR46" i="1"/>
  <c r="AQ31" i="19" s="1"/>
  <c r="AR41" i="1"/>
  <c r="AQ26" i="19" s="1"/>
  <c r="AR36" i="1"/>
  <c r="AQ21" i="19" s="1"/>
  <c r="AQ36" i="1"/>
  <c r="AP21" i="19" s="1"/>
  <c r="AQ56" i="1"/>
  <c r="AP20" i="19"/>
  <c r="G35" i="19"/>
  <c r="H59" i="1"/>
  <c r="G44" i="19" s="1"/>
  <c r="CF36" i="1"/>
  <c r="CF41" i="1"/>
  <c r="BX41" i="1"/>
  <c r="BX46" i="1"/>
  <c r="BW56" i="1"/>
  <c r="BW46" i="1"/>
  <c r="BW41" i="1"/>
  <c r="BW36" i="1"/>
  <c r="BV46" i="1"/>
  <c r="BV36" i="1"/>
  <c r="BQ58" i="1"/>
  <c r="BQ57" i="1"/>
  <c r="BP41" i="1"/>
  <c r="BP46" i="1"/>
  <c r="BO36" i="1"/>
  <c r="BO46" i="1"/>
  <c r="BO41" i="1"/>
  <c r="BO56" i="1"/>
  <c r="BO58" i="1"/>
  <c r="BO57" i="1"/>
  <c r="BN36" i="1"/>
  <c r="BN46" i="1"/>
  <c r="BN41" i="1"/>
  <c r="BN56" i="1"/>
  <c r="BN58" i="1"/>
  <c r="BN57" i="1"/>
  <c r="T34" i="19"/>
  <c r="U58" i="1"/>
  <c r="T43" i="19" s="1"/>
  <c r="U57" i="1"/>
  <c r="T42" i="19" s="1"/>
  <c r="U56" i="1"/>
  <c r="T20" i="19"/>
  <c r="U60" i="1"/>
  <c r="T45" i="19" s="1"/>
  <c r="T36" i="19"/>
  <c r="AQ57" i="1"/>
  <c r="AP42" i="19" s="1"/>
  <c r="AQ58" i="1"/>
  <c r="AP43" i="19" s="1"/>
  <c r="AP34" i="19"/>
  <c r="AQ60" i="1"/>
  <c r="AP45" i="19" s="1"/>
  <c r="AP36" i="19"/>
  <c r="AP38" i="19"/>
  <c r="AQ62" i="1"/>
  <c r="AP47" i="19" s="1"/>
  <c r="AQ61" i="1"/>
  <c r="AP46" i="19" s="1"/>
  <c r="AP37" i="19"/>
  <c r="AP35" i="19"/>
  <c r="AQ59" i="1"/>
  <c r="AP44" i="19" s="1"/>
  <c r="M59" i="1"/>
  <c r="L44" i="19" s="1"/>
  <c r="L35" i="19"/>
  <c r="J60" i="1"/>
  <c r="I45" i="19" s="1"/>
  <c r="I36" i="19"/>
  <c r="P61" i="1"/>
  <c r="O46" i="19" s="1"/>
  <c r="O37" i="19"/>
  <c r="P59" i="1"/>
  <c r="O44" i="19" s="1"/>
  <c r="O35" i="19"/>
  <c r="P60" i="1"/>
  <c r="O45" i="19" s="1"/>
  <c r="O36" i="19"/>
  <c r="O38" i="19"/>
  <c r="P62" i="1"/>
  <c r="O47" i="19" s="1"/>
  <c r="P56" i="1"/>
  <c r="P46" i="1"/>
  <c r="O31" i="19" s="1"/>
  <c r="O20" i="19"/>
  <c r="P36" i="1"/>
  <c r="O21" i="19" s="1"/>
  <c r="P57" i="1"/>
  <c r="O42" i="19" s="1"/>
  <c r="P58" i="1"/>
  <c r="O43" i="19" s="1"/>
  <c r="O34" i="19"/>
  <c r="H58" i="1"/>
  <c r="G43" i="19" s="1"/>
  <c r="H57" i="1"/>
  <c r="G42" i="19" s="1"/>
  <c r="G34" i="19"/>
  <c r="H62" i="1"/>
  <c r="G47" i="19" s="1"/>
  <c r="G38" i="19"/>
  <c r="H60" i="1"/>
  <c r="G45" i="19" s="1"/>
  <c r="G36" i="19"/>
  <c r="H61" i="1"/>
  <c r="G46" i="19" s="1"/>
  <c r="G37" i="19"/>
  <c r="BK58" i="1"/>
  <c r="BK57" i="1"/>
  <c r="O62" i="1"/>
  <c r="N47" i="19" s="1"/>
  <c r="N38" i="19"/>
  <c r="O60" i="1"/>
  <c r="N45" i="19" s="1"/>
  <c r="N36" i="19"/>
  <c r="O61" i="1"/>
  <c r="N46" i="19" s="1"/>
  <c r="N37" i="19"/>
  <c r="AH36" i="19"/>
  <c r="AI60" i="1"/>
  <c r="AH45" i="19" s="1"/>
  <c r="AH35" i="19"/>
  <c r="AI59" i="1"/>
  <c r="AH44" i="19" s="1"/>
  <c r="B36" i="19"/>
  <c r="C60" i="1"/>
  <c r="B45" i="19" s="1"/>
  <c r="CE56" i="1"/>
  <c r="CE46" i="1"/>
  <c r="CE36" i="1"/>
  <c r="CE41" i="1"/>
  <c r="BZ56" i="1"/>
  <c r="BZ46" i="1"/>
  <c r="BZ36" i="1"/>
  <c r="BZ41" i="1"/>
  <c r="BR57" i="1"/>
  <c r="BR58" i="1"/>
  <c r="BF57" i="1"/>
  <c r="BF58" i="1"/>
  <c r="AS36" i="19"/>
  <c r="AT60" i="1"/>
  <c r="AS45" i="19" s="1"/>
  <c r="AS25" i="19"/>
  <c r="AT41" i="1"/>
  <c r="AS26" i="19" s="1"/>
  <c r="AS35" i="19"/>
  <c r="AT59" i="1"/>
  <c r="AS44" i="19" s="1"/>
  <c r="AS37" i="19"/>
  <c r="AT61" i="1"/>
  <c r="AS46" i="19" s="1"/>
  <c r="AS38" i="19"/>
  <c r="AT62" i="1"/>
  <c r="AS47" i="19" s="1"/>
  <c r="AT58" i="1"/>
  <c r="AS43" i="19" s="1"/>
  <c r="AS34" i="19"/>
  <c r="AT57" i="1"/>
  <c r="AS42" i="19" s="1"/>
  <c r="AT35" i="19"/>
  <c r="AU59" i="1"/>
  <c r="AT44" i="19" s="1"/>
  <c r="AT34" i="19"/>
  <c r="AU57" i="1"/>
  <c r="AT42" i="19" s="1"/>
  <c r="AU58" i="1"/>
  <c r="AT43" i="19" s="1"/>
  <c r="AR61" i="1"/>
  <c r="AQ46" i="19" s="1"/>
  <c r="AQ37" i="19"/>
  <c r="AR58" i="1"/>
  <c r="AQ43" i="19" s="1"/>
  <c r="AR57" i="1"/>
  <c r="AQ42" i="19" s="1"/>
  <c r="AQ34" i="19"/>
  <c r="AR62" i="1"/>
  <c r="AQ47" i="19" s="1"/>
  <c r="AQ38" i="19"/>
  <c r="AQ36" i="19"/>
  <c r="AR60" i="1"/>
  <c r="AQ45" i="19" s="1"/>
  <c r="AR59" i="1"/>
  <c r="AQ44" i="19" s="1"/>
  <c r="AQ35" i="19"/>
  <c r="AE60" i="1"/>
  <c r="AD45" i="19" s="1"/>
  <c r="AD36" i="19"/>
  <c r="AE58" i="1"/>
  <c r="AD43" i="19" s="1"/>
  <c r="AE57" i="1"/>
  <c r="AD42" i="19" s="1"/>
  <c r="AD34" i="19"/>
  <c r="AD62" i="1"/>
  <c r="AC47" i="19" s="1"/>
  <c r="AC38" i="19"/>
  <c r="AC37" i="19"/>
  <c r="AD61" i="1"/>
  <c r="AC46" i="19" s="1"/>
  <c r="AD60" i="1"/>
  <c r="AC45" i="19" s="1"/>
  <c r="AC36" i="19"/>
  <c r="AC35" i="19"/>
  <c r="AD59" i="1"/>
  <c r="AC44" i="19" s="1"/>
  <c r="AD36" i="1"/>
  <c r="AC21" i="19" s="1"/>
  <c r="AC20" i="19"/>
  <c r="AD41" i="1"/>
  <c r="AC26" i="19" s="1"/>
  <c r="AD56" i="1"/>
  <c r="AD46" i="1"/>
  <c r="AC31" i="19" s="1"/>
  <c r="AD58" i="1"/>
  <c r="AC43" i="19" s="1"/>
  <c r="AD57" i="1"/>
  <c r="AC42" i="19" s="1"/>
  <c r="AC34" i="19"/>
  <c r="V37" i="19"/>
  <c r="W61" i="1"/>
  <c r="V46" i="19" s="1"/>
  <c r="W60" i="1"/>
  <c r="V45" i="19" s="1"/>
  <c r="V36" i="19"/>
  <c r="V34" i="19"/>
  <c r="W57" i="1"/>
  <c r="V42" i="19" s="1"/>
  <c r="W58" i="1"/>
  <c r="V43" i="19" s="1"/>
  <c r="U35" i="19"/>
  <c r="V59" i="1"/>
  <c r="U44" i="19" s="1"/>
  <c r="O36" i="1"/>
  <c r="N21" i="19" s="1"/>
  <c r="O56" i="1"/>
  <c r="O41" i="1"/>
  <c r="N26" i="19" s="1"/>
  <c r="O46" i="1"/>
  <c r="N31" i="19" s="1"/>
  <c r="N20" i="19"/>
  <c r="O59" i="1"/>
  <c r="N44" i="19" s="1"/>
  <c r="N35" i="19"/>
  <c r="N34" i="19"/>
  <c r="O57" i="1"/>
  <c r="N42" i="19" s="1"/>
  <c r="O58" i="1"/>
  <c r="N43" i="19" s="1"/>
  <c r="M36" i="19"/>
  <c r="N60" i="1"/>
  <c r="M45" i="19" s="1"/>
  <c r="M34" i="19"/>
  <c r="N58" i="1"/>
  <c r="M43" i="19" s="1"/>
  <c r="N57" i="1"/>
  <c r="M42" i="19" s="1"/>
  <c r="M37" i="19"/>
  <c r="N61" i="1"/>
  <c r="M46" i="19" s="1"/>
  <c r="M35" i="19"/>
  <c r="N59" i="1"/>
  <c r="M44" i="19" s="1"/>
  <c r="M20" i="19"/>
  <c r="N36" i="1"/>
  <c r="M21" i="19" s="1"/>
  <c r="N56" i="1"/>
  <c r="N46" i="1"/>
  <c r="M31" i="19" s="1"/>
  <c r="N41" i="1"/>
  <c r="M26" i="19" s="1"/>
  <c r="N62" i="1"/>
  <c r="M47" i="19" s="1"/>
  <c r="M38" i="19"/>
  <c r="U59" i="1"/>
  <c r="T44" i="19" s="1"/>
  <c r="T35" i="19"/>
  <c r="U46" i="1"/>
  <c r="T31" i="19" s="1"/>
  <c r="U36" i="1"/>
  <c r="T21" i="19" s="1"/>
  <c r="U41" i="1"/>
  <c r="T26" i="19" s="1"/>
  <c r="T37" i="19"/>
  <c r="U61" i="1"/>
  <c r="T46" i="19" s="1"/>
  <c r="U62" i="1"/>
  <c r="T47" i="19" s="1"/>
  <c r="T38" i="19"/>
  <c r="AB20" i="19"/>
  <c r="AC41" i="1"/>
  <c r="AB26" i="19" s="1"/>
  <c r="AC46" i="1"/>
  <c r="AB31" i="19" s="1"/>
  <c r="AC36" i="1"/>
  <c r="AB21" i="19" s="1"/>
  <c r="AC56" i="1"/>
  <c r="AB37" i="19"/>
  <c r="AC61" i="1"/>
  <c r="AB46" i="19" s="1"/>
  <c r="AB34" i="19"/>
  <c r="AC57" i="1"/>
  <c r="AB42" i="19" s="1"/>
  <c r="AC58" i="1"/>
  <c r="AB43" i="19" s="1"/>
  <c r="L38" i="19"/>
  <c r="M62" i="1"/>
  <c r="L47" i="19" s="1"/>
  <c r="L37" i="19"/>
  <c r="M61" i="1"/>
  <c r="L46" i="19" s="1"/>
  <c r="L36" i="19"/>
  <c r="M60" i="1"/>
  <c r="L45" i="19" s="1"/>
  <c r="L25" i="19"/>
  <c r="M41" i="1"/>
  <c r="L26" i="19" s="1"/>
  <c r="L30" i="19"/>
  <c r="M46" i="1"/>
  <c r="L31" i="19" s="1"/>
  <c r="L34" i="19"/>
  <c r="M57" i="1"/>
  <c r="L42" i="19" s="1"/>
  <c r="M58" i="1"/>
  <c r="L43" i="19" s="1"/>
  <c r="AS57" i="1"/>
  <c r="AR42" i="19" s="1"/>
  <c r="AR34" i="19"/>
  <c r="AS58" i="1"/>
  <c r="AR43" i="19" s="1"/>
  <c r="AR35" i="19"/>
  <c r="AS59" i="1"/>
  <c r="AR44" i="19" s="1"/>
  <c r="AS61" i="1"/>
  <c r="AR46" i="19" s="1"/>
  <c r="AR37" i="19"/>
  <c r="AS60" i="1"/>
  <c r="AR45" i="19" s="1"/>
  <c r="AR36" i="19"/>
  <c r="AO36" i="19"/>
  <c r="AP60" i="1"/>
  <c r="AO45" i="19" s="1"/>
  <c r="AJ62" i="1"/>
  <c r="AI47" i="19" s="1"/>
  <c r="AI38" i="19"/>
  <c r="AJ58" i="1"/>
  <c r="AI43" i="19" s="1"/>
  <c r="AJ57" i="1"/>
  <c r="AI42" i="19" s="1"/>
  <c r="AI34" i="19"/>
  <c r="AJ61" i="1"/>
  <c r="AI46" i="19" s="1"/>
  <c r="AI37" i="19"/>
  <c r="AI20" i="19"/>
  <c r="AJ46" i="1"/>
  <c r="AI31" i="19" s="1"/>
  <c r="AJ56" i="1"/>
  <c r="AJ36" i="1"/>
  <c r="AI21" i="19" s="1"/>
  <c r="Z38" i="19"/>
  <c r="AA62" i="1"/>
  <c r="Z47" i="19" s="1"/>
  <c r="Z37" i="19"/>
  <c r="AA61" i="1"/>
  <c r="Z46" i="19" s="1"/>
  <c r="AA60" i="1"/>
  <c r="Z45" i="19" s="1"/>
  <c r="Z36" i="19"/>
  <c r="AA41" i="1"/>
  <c r="Z26" i="19" s="1"/>
  <c r="AA56" i="1"/>
  <c r="Z20" i="19"/>
  <c r="AA36" i="1"/>
  <c r="Z21" i="19" s="1"/>
  <c r="AA46" i="1"/>
  <c r="Z31" i="19" s="1"/>
  <c r="Q25" i="19"/>
  <c r="R41" i="1"/>
  <c r="Q26" i="19" s="1"/>
  <c r="D60" i="1"/>
  <c r="C45" i="19" s="1"/>
  <c r="C36" i="19"/>
  <c r="C20" i="19"/>
  <c r="D46" i="1"/>
  <c r="C31" i="19" s="1"/>
  <c r="D41" i="1"/>
  <c r="C26" i="19" s="1"/>
  <c r="D56" i="1"/>
  <c r="D36" i="1"/>
  <c r="C21" i="19" s="1"/>
  <c r="C38" i="19"/>
  <c r="D62" i="1"/>
  <c r="C47" i="19" s="1"/>
  <c r="T61" i="1"/>
  <c r="S46" i="19" s="1"/>
  <c r="S37" i="19"/>
  <c r="T57" i="1"/>
  <c r="S42" i="19" s="1"/>
  <c r="T58" i="1"/>
  <c r="S43" i="19" s="1"/>
  <c r="S34" i="19"/>
  <c r="T62" i="1"/>
  <c r="S47" i="19" s="1"/>
  <c r="S38" i="19"/>
  <c r="T59" i="1"/>
  <c r="S44" i="19" s="1"/>
  <c r="S35" i="19"/>
  <c r="S20" i="19"/>
  <c r="T41" i="1"/>
  <c r="S26" i="19" s="1"/>
  <c r="T36" i="1"/>
  <c r="S21" i="19" s="1"/>
  <c r="T46" i="1"/>
  <c r="S31" i="19" s="1"/>
  <c r="T56" i="1"/>
  <c r="AB41" i="1"/>
  <c r="AA26" i="19" s="1"/>
  <c r="AA20" i="19"/>
  <c r="AB46" i="1"/>
  <c r="AA31" i="19" s="1"/>
  <c r="AB56" i="1"/>
  <c r="AB36" i="1"/>
  <c r="AA21" i="19" s="1"/>
  <c r="AB59" i="1"/>
  <c r="AA44" i="19" s="1"/>
  <c r="AA35" i="19"/>
  <c r="AA34" i="19"/>
  <c r="AB58" i="1"/>
  <c r="AA43" i="19" s="1"/>
  <c r="AB57" i="1"/>
  <c r="AA42" i="19" s="1"/>
  <c r="AA38" i="19"/>
  <c r="AB62" i="1"/>
  <c r="AA47" i="19" s="1"/>
  <c r="AA37" i="19"/>
  <c r="AB61" i="1"/>
  <c r="AA46" i="19" s="1"/>
  <c r="I25" i="19"/>
  <c r="J41" i="1"/>
  <c r="I26" i="19" s="1"/>
  <c r="AH20" i="19"/>
  <c r="AI36" i="1"/>
  <c r="AH21" i="19" s="1"/>
  <c r="AI56" i="1"/>
  <c r="AI46" i="1"/>
  <c r="AH31" i="19" s="1"/>
  <c r="AI61" i="1"/>
  <c r="AH46" i="19" s="1"/>
  <c r="AH37" i="19"/>
  <c r="AI57" i="1"/>
  <c r="AH42" i="19" s="1"/>
  <c r="AH34" i="19"/>
  <c r="AI58" i="1"/>
  <c r="AH43" i="19" s="1"/>
  <c r="AI62" i="1"/>
  <c r="AH47" i="19" s="1"/>
  <c r="AH38" i="19"/>
  <c r="Y37" i="19"/>
  <c r="Z61" i="1"/>
  <c r="Y46" i="19" s="1"/>
  <c r="Z60" i="1"/>
  <c r="Y45" i="19" s="1"/>
  <c r="Y36" i="19"/>
  <c r="Y35" i="19"/>
  <c r="Z59" i="1"/>
  <c r="Y44" i="19" s="1"/>
  <c r="L41" i="1"/>
  <c r="K26" i="19" s="1"/>
  <c r="L56" i="1"/>
  <c r="L36" i="1"/>
  <c r="K21" i="19" s="1"/>
  <c r="L46" i="1"/>
  <c r="K31" i="19" s="1"/>
  <c r="K20" i="19"/>
  <c r="K38" i="19"/>
  <c r="L62" i="1"/>
  <c r="K47" i="19" s="1"/>
  <c r="L61" i="1"/>
  <c r="K46" i="19" s="1"/>
  <c r="K37" i="19"/>
  <c r="K36" i="19"/>
  <c r="L60" i="1"/>
  <c r="K45" i="19" s="1"/>
  <c r="L58" i="1"/>
  <c r="K43" i="19" s="1"/>
  <c r="L57" i="1"/>
  <c r="K42" i="19" s="1"/>
  <c r="K34" i="19"/>
  <c r="L59" i="1"/>
  <c r="K44" i="19" s="1"/>
  <c r="K35" i="19"/>
  <c r="B38" i="19"/>
  <c r="C62" i="1"/>
  <c r="B47" i="19" s="1"/>
  <c r="B37" i="19"/>
  <c r="C61" i="1"/>
  <c r="B46" i="19" s="1"/>
  <c r="C59" i="1"/>
  <c r="B44" i="19" s="1"/>
  <c r="B35" i="19"/>
  <c r="C56" i="1"/>
  <c r="C46" i="1"/>
  <c r="B31" i="19" s="1"/>
  <c r="C41" i="1"/>
  <c r="B26" i="19" s="1"/>
  <c r="B20" i="19"/>
  <c r="C36" i="1"/>
  <c r="B21" i="19" s="1"/>
  <c r="C58" i="1"/>
  <c r="B43" i="19" s="1"/>
  <c r="B34" i="19"/>
  <c r="C57" i="1"/>
  <c r="B42" i="19" s="1"/>
  <c r="AG36" i="19"/>
  <c r="AH60" i="1"/>
  <c r="AG45" i="19" s="1"/>
  <c r="AG35" i="19"/>
  <c r="AH59" i="1"/>
  <c r="AG44" i="19" s="1"/>
  <c r="AH57" i="1"/>
  <c r="AG42" i="19" s="1"/>
  <c r="AG34" i="19"/>
  <c r="AH58" i="1"/>
  <c r="AG43" i="19" s="1"/>
  <c r="AG37" i="19"/>
  <c r="AH61" i="1"/>
  <c r="AG46" i="19" s="1"/>
  <c r="AH62" i="1"/>
  <c r="AG47" i="19" s="1"/>
  <c r="AG38" i="19"/>
  <c r="AH41" i="1"/>
  <c r="AG26" i="19" s="1"/>
  <c r="AH56" i="1"/>
  <c r="AH46" i="1"/>
  <c r="AG31" i="19" s="1"/>
  <c r="AG20" i="19"/>
  <c r="AH36" i="1"/>
  <c r="AG21" i="19" s="1"/>
  <c r="J35" i="19"/>
  <c r="K59" i="1"/>
  <c r="J44" i="19" s="1"/>
  <c r="K56" i="1"/>
  <c r="K36" i="1"/>
  <c r="J21" i="19" s="1"/>
  <c r="K41" i="1"/>
  <c r="J26" i="19" s="1"/>
  <c r="K46" i="1"/>
  <c r="J31" i="19" s="1"/>
  <c r="J20" i="19"/>
  <c r="J34" i="19"/>
  <c r="K58" i="1"/>
  <c r="J43" i="19" s="1"/>
  <c r="K57" i="1"/>
  <c r="J42" i="19" s="1"/>
  <c r="K61" i="1"/>
  <c r="J46" i="19" s="1"/>
  <c r="J37" i="19"/>
  <c r="J36" i="19"/>
  <c r="K60" i="1"/>
  <c r="J45" i="19" s="1"/>
  <c r="K62" i="1"/>
  <c r="J47" i="19" s="1"/>
  <c r="J38" i="19"/>
  <c r="AD30" i="19"/>
  <c r="AE46" i="1"/>
  <c r="AD31" i="19" s="1"/>
  <c r="AD25" i="19"/>
  <c r="AE41" i="1"/>
  <c r="AD26" i="19" s="1"/>
  <c r="AE20" i="19"/>
  <c r="AF36" i="1"/>
  <c r="AE21" i="19" s="1"/>
  <c r="AF56" i="1"/>
  <c r="CN58" i="1"/>
  <c r="CN57" i="1"/>
  <c r="E26" i="6"/>
  <c r="F26" i="6" s="1"/>
  <c r="BT41" i="1"/>
  <c r="BT46" i="1"/>
  <c r="BT56" i="1"/>
  <c r="BT36" i="1"/>
  <c r="CB46" i="1"/>
  <c r="CB41" i="1"/>
  <c r="CB56" i="1"/>
  <c r="CB36" i="1"/>
  <c r="X56" i="1"/>
  <c r="X36" i="1"/>
  <c r="W21" i="19" s="1"/>
  <c r="X46" i="1"/>
  <c r="W31" i="19" s="1"/>
  <c r="X41" i="1"/>
  <c r="W26" i="19" s="1"/>
  <c r="W20" i="19"/>
  <c r="CI46" i="1"/>
  <c r="CI36" i="1"/>
  <c r="BC56" i="1"/>
  <c r="BC41" i="1"/>
  <c r="BC46" i="1"/>
  <c r="BC36" i="1"/>
  <c r="AU41" i="1"/>
  <c r="AT26" i="19" s="1"/>
  <c r="AU46" i="1"/>
  <c r="AT31" i="19" s="1"/>
  <c r="AU36" i="1"/>
  <c r="AT21" i="19" s="1"/>
  <c r="AL60" i="1"/>
  <c r="AK45" i="19" s="1"/>
  <c r="AK36" i="19"/>
  <c r="W41" i="1"/>
  <c r="V26" i="19" s="1"/>
  <c r="W46" i="1"/>
  <c r="V31" i="19" s="1"/>
  <c r="W36" i="1"/>
  <c r="V21" i="19" s="1"/>
  <c r="AS62" i="1"/>
  <c r="AR47" i="19" s="1"/>
  <c r="AR38" i="19"/>
  <c r="AS36" i="1"/>
  <c r="AR21" i="19" s="1"/>
  <c r="AS46" i="1"/>
  <c r="AR31" i="19" s="1"/>
  <c r="AS41" i="1"/>
  <c r="AR26" i="19" s="1"/>
  <c r="AP41" i="1"/>
  <c r="AO26" i="19" s="1"/>
  <c r="AP36" i="1"/>
  <c r="AO21" i="19" s="1"/>
  <c r="CI57" i="1"/>
  <c r="CI58" i="1"/>
  <c r="CA46" i="1"/>
  <c r="CA41" i="1"/>
  <c r="P25" i="19"/>
  <c r="Q41" i="1"/>
  <c r="P26" i="19" s="1"/>
  <c r="P30" i="19"/>
  <c r="Q46" i="1"/>
  <c r="P31" i="19" s="1"/>
  <c r="BD46" i="1"/>
  <c r="BD41" i="1"/>
  <c r="BD36" i="1"/>
  <c r="BD56" i="1"/>
  <c r="AF46" i="1"/>
  <c r="AE31" i="19" s="1"/>
  <c r="AF41" i="1"/>
  <c r="AE26" i="19" s="1"/>
  <c r="W35" i="19"/>
  <c r="X59" i="1"/>
  <c r="W44" i="19" s="1"/>
  <c r="X61" i="1"/>
  <c r="W46" i="19" s="1"/>
  <c r="W37" i="19"/>
  <c r="W38" i="19"/>
  <c r="X62" i="1"/>
  <c r="W47" i="19" s="1"/>
  <c r="W34" i="19"/>
  <c r="X58" i="1"/>
  <c r="W43" i="19" s="1"/>
  <c r="X57" i="1"/>
  <c r="W42" i="19" s="1"/>
  <c r="X60" i="1"/>
  <c r="W45" i="19" s="1"/>
  <c r="W36" i="19"/>
  <c r="CI56" i="1"/>
  <c r="CI41" i="1"/>
  <c r="CA58" i="1"/>
  <c r="CA57" i="1"/>
  <c r="CA56" i="1"/>
  <c r="CA36" i="1"/>
  <c r="BC58" i="1"/>
  <c r="BC57" i="1"/>
  <c r="AT38" i="19"/>
  <c r="AU62" i="1"/>
  <c r="AT47" i="19" s="1"/>
  <c r="AU56" i="1"/>
  <c r="AT20" i="19"/>
  <c r="AM59" i="1"/>
  <c r="AL44" i="19" s="1"/>
  <c r="AL35" i="19"/>
  <c r="AL36" i="19"/>
  <c r="AM60" i="1"/>
  <c r="AL45" i="19" s="1"/>
  <c r="AM36" i="1"/>
  <c r="AL21" i="19" s="1"/>
  <c r="AL20" i="19"/>
  <c r="AM41" i="1"/>
  <c r="AL26" i="19" s="1"/>
  <c r="AM46" i="1"/>
  <c r="AL31" i="19" s="1"/>
  <c r="AM56" i="1"/>
  <c r="AL34" i="19"/>
  <c r="AM58" i="1"/>
  <c r="AL43" i="19" s="1"/>
  <c r="AM57" i="1"/>
  <c r="AL42" i="19" s="1"/>
  <c r="AM62" i="1"/>
  <c r="AL47" i="19" s="1"/>
  <c r="AL38" i="19"/>
  <c r="AM61" i="1"/>
  <c r="AL46" i="19" s="1"/>
  <c r="AL37" i="19"/>
  <c r="AL36" i="1"/>
  <c r="AK21" i="19" s="1"/>
  <c r="AL41" i="1"/>
  <c r="AK26" i="19" s="1"/>
  <c r="AK20" i="19"/>
  <c r="AL56" i="1"/>
  <c r="AL46" i="1"/>
  <c r="AK31" i="19" s="1"/>
  <c r="AK34" i="19"/>
  <c r="AL57" i="1"/>
  <c r="AK42" i="19" s="1"/>
  <c r="AL58" i="1"/>
  <c r="AK43" i="19" s="1"/>
  <c r="AK35" i="19"/>
  <c r="AL59" i="1"/>
  <c r="AK44" i="19" s="1"/>
  <c r="AK37" i="19"/>
  <c r="AL61" i="1"/>
  <c r="AK46" i="19" s="1"/>
  <c r="AL62" i="1"/>
  <c r="AK47" i="19" s="1"/>
  <c r="AK38" i="19"/>
  <c r="AE61" i="1"/>
  <c r="AD46" i="19" s="1"/>
  <c r="AD37" i="19"/>
  <c r="AD38" i="19"/>
  <c r="AE62" i="1"/>
  <c r="AD47" i="19" s="1"/>
  <c r="W56" i="1"/>
  <c r="V20" i="19"/>
  <c r="W59" i="1"/>
  <c r="V44" i="19" s="1"/>
  <c r="V35" i="19"/>
  <c r="AK61" i="1"/>
  <c r="AJ46" i="19" s="1"/>
  <c r="AJ37" i="19"/>
  <c r="AJ38" i="19"/>
  <c r="AK62" i="1"/>
  <c r="AJ47" i="19" s="1"/>
  <c r="AK57" i="1"/>
  <c r="AJ42" i="19" s="1"/>
  <c r="AJ34" i="19"/>
  <c r="AK58" i="1"/>
  <c r="AJ43" i="19" s="1"/>
  <c r="AR20" i="19"/>
  <c r="AS56" i="1"/>
  <c r="AP46" i="1"/>
  <c r="AO31" i="19" s="1"/>
  <c r="E28" i="6"/>
  <c r="F28" i="6" s="1"/>
  <c r="AP56" i="1"/>
  <c r="AO20" i="19"/>
  <c r="AI25" i="19"/>
  <c r="AJ41" i="1"/>
  <c r="AI26" i="19" s="1"/>
  <c r="AI41" i="1"/>
  <c r="AH26" i="19" s="1"/>
  <c r="AH25" i="19"/>
  <c r="BD58" i="1"/>
  <c r="BD57" i="1"/>
  <c r="AE34" i="19"/>
  <c r="AF58" i="1"/>
  <c r="AE43" i="19" s="1"/>
  <c r="AF57" i="1"/>
  <c r="AE42" i="19" s="1"/>
  <c r="AE35" i="19"/>
  <c r="AF59" i="1"/>
  <c r="AE44" i="19" s="1"/>
  <c r="AE36" i="19"/>
  <c r="AF60" i="1"/>
  <c r="AE45" i="19" s="1"/>
  <c r="AF61" i="1"/>
  <c r="AE46" i="19" s="1"/>
  <c r="AE37" i="19"/>
  <c r="AE38" i="19"/>
  <c r="AF62" i="1"/>
  <c r="AE47" i="19" s="1"/>
  <c r="AL63" i="1"/>
  <c r="BS57" i="1"/>
  <c r="BS58" i="1"/>
  <c r="BS56" i="1"/>
  <c r="BS36" i="1"/>
  <c r="BS41" i="1"/>
  <c r="BS46" i="1"/>
  <c r="BG36" i="1"/>
  <c r="BG46" i="1"/>
  <c r="BG41" i="1"/>
  <c r="BG56" i="1"/>
  <c r="BF41" i="1"/>
  <c r="E24" i="6"/>
  <c r="F24" i="6" s="1"/>
  <c r="BF36" i="1"/>
  <c r="BF46" i="1"/>
  <c r="BF56" i="1"/>
  <c r="BJ57" i="1"/>
  <c r="BJ58" i="1"/>
  <c r="BH46" i="1"/>
  <c r="BH41" i="1"/>
  <c r="BH56" i="1"/>
  <c r="BH36" i="1"/>
  <c r="BH58" i="1"/>
  <c r="BH57" i="1"/>
  <c r="E36" i="19"/>
  <c r="F60" i="1"/>
  <c r="E45" i="19" s="1"/>
  <c r="E35" i="19"/>
  <c r="F59" i="1"/>
  <c r="E23" i="6"/>
  <c r="F23" i="6" s="1"/>
  <c r="E20" i="19"/>
  <c r="F36" i="1"/>
  <c r="E21" i="19" s="1"/>
  <c r="F41" i="1"/>
  <c r="E26" i="19" s="1"/>
  <c r="F46" i="1"/>
  <c r="E31" i="19" s="1"/>
  <c r="F56" i="1"/>
  <c r="E34" i="19"/>
  <c r="F58" i="1"/>
  <c r="E43" i="19" s="1"/>
  <c r="F57" i="1"/>
  <c r="E42" i="19" s="1"/>
  <c r="F61" i="1"/>
  <c r="E46" i="19" s="1"/>
  <c r="E37" i="19"/>
  <c r="F62" i="1"/>
  <c r="E47" i="19" s="1"/>
  <c r="E38" i="19"/>
  <c r="D34" i="19"/>
  <c r="E57" i="1"/>
  <c r="D42" i="19" s="1"/>
  <c r="E58" i="1"/>
  <c r="D43" i="19" s="1"/>
  <c r="D36" i="19"/>
  <c r="E60" i="1"/>
  <c r="D45" i="19" s="1"/>
  <c r="D38" i="19"/>
  <c r="E62" i="1"/>
  <c r="D35" i="19"/>
  <c r="E59" i="1"/>
  <c r="D44" i="19" s="1"/>
  <c r="E61" i="1"/>
  <c r="D46" i="19" s="1"/>
  <c r="D37" i="19"/>
  <c r="V62" i="1"/>
  <c r="U47" i="19" s="1"/>
  <c r="U38" i="19"/>
  <c r="V61" i="1"/>
  <c r="U37" i="19"/>
  <c r="V60" i="1"/>
  <c r="U45" i="19" s="1"/>
  <c r="U36" i="19"/>
  <c r="E25" i="6"/>
  <c r="F25" i="6" s="1"/>
  <c r="V56" i="1"/>
  <c r="V36" i="1"/>
  <c r="U21" i="19" s="1"/>
  <c r="V46" i="1"/>
  <c r="U31" i="19" s="1"/>
  <c r="V41" i="1"/>
  <c r="U26" i="19" s="1"/>
  <c r="U20" i="19"/>
  <c r="V57" i="1"/>
  <c r="U42" i="19" s="1"/>
  <c r="V58" i="1"/>
  <c r="U34" i="19"/>
  <c r="AQ46" i="1"/>
  <c r="AP31" i="19" s="1"/>
  <c r="AP30" i="19"/>
  <c r="AQ41" i="1"/>
  <c r="AP26" i="19" s="1"/>
  <c r="AP25" i="19"/>
  <c r="AC62" i="1"/>
  <c r="AB47" i="19" s="1"/>
  <c r="AB38" i="19"/>
  <c r="AC59" i="1"/>
  <c r="AB44" i="19" s="1"/>
  <c r="AB35" i="19"/>
  <c r="AC60" i="1"/>
  <c r="AB45" i="19" s="1"/>
  <c r="AB36" i="19"/>
  <c r="AK59" i="1"/>
  <c r="AJ44" i="19" s="1"/>
  <c r="AJ35" i="19"/>
  <c r="AK60" i="1"/>
  <c r="AJ45" i="19" s="1"/>
  <c r="AJ36" i="19"/>
  <c r="E27" i="6"/>
  <c r="F27" i="6" s="1"/>
  <c r="AK56" i="1"/>
  <c r="AK46" i="1"/>
  <c r="AJ31" i="19" s="1"/>
  <c r="AK36" i="1"/>
  <c r="AJ21" i="19" s="1"/>
  <c r="AK41" i="1"/>
  <c r="AJ26" i="19" s="1"/>
  <c r="AJ20" i="19"/>
  <c r="S64" i="1" l="1"/>
  <c r="R41" i="19"/>
  <c r="M64" i="1"/>
  <c r="L41" i="19"/>
  <c r="Z64" i="1"/>
  <c r="Y41" i="19"/>
  <c r="AN64" i="1"/>
  <c r="AM41" i="19"/>
  <c r="AD41" i="19"/>
  <c r="AE64" i="1"/>
  <c r="G64" i="1"/>
  <c r="F41" i="19"/>
  <c r="E64" i="1"/>
  <c r="D41" i="19"/>
  <c r="AT64" i="1"/>
  <c r="AS41" i="19"/>
  <c r="AQ41" i="19"/>
  <c r="AR64" i="1"/>
  <c r="AQ64" i="1"/>
  <c r="AP41" i="19"/>
  <c r="T41" i="19"/>
  <c r="U64" i="1"/>
  <c r="H64" i="1"/>
  <c r="G41" i="19"/>
  <c r="A41" i="19"/>
  <c r="B64" i="1"/>
  <c r="AV64" i="1"/>
  <c r="AU41" i="19"/>
  <c r="T64" i="1"/>
  <c r="S41" i="19"/>
  <c r="AB64" i="1"/>
  <c r="AA41" i="19"/>
  <c r="AI64" i="1"/>
  <c r="AH41" i="19"/>
  <c r="K41" i="19"/>
  <c r="L64" i="1"/>
  <c r="B41" i="19"/>
  <c r="C64" i="1"/>
  <c r="AH64" i="1"/>
  <c r="AG41" i="19"/>
  <c r="Q41" i="19"/>
  <c r="R64" i="1"/>
  <c r="J64" i="1"/>
  <c r="I41" i="19"/>
  <c r="AI41" i="19"/>
  <c r="AJ64" i="1"/>
  <c r="AA64" i="1"/>
  <c r="Z41" i="19"/>
  <c r="C41" i="19"/>
  <c r="D64" i="1"/>
  <c r="J41" i="19"/>
  <c r="K64" i="1"/>
  <c r="AF64" i="1"/>
  <c r="AE41" i="19"/>
  <c r="X64" i="1"/>
  <c r="W41" i="19"/>
  <c r="AL64" i="1"/>
  <c r="AK41" i="19"/>
  <c r="W64" i="1"/>
  <c r="V41" i="19"/>
  <c r="AS64" i="1"/>
  <c r="AR41" i="19"/>
  <c r="AP64" i="1"/>
  <c r="AO41" i="19"/>
  <c r="O41" i="19"/>
  <c r="P64" i="1"/>
  <c r="AD64" i="1"/>
  <c r="AC41" i="19"/>
  <c r="N41" i="19"/>
  <c r="O64" i="1"/>
  <c r="N64" i="1"/>
  <c r="M41" i="19"/>
  <c r="AC64" i="1"/>
  <c r="AB41" i="19"/>
  <c r="AT41" i="19"/>
  <c r="AU64" i="1"/>
  <c r="AM64" i="1"/>
  <c r="AL41" i="19"/>
  <c r="J15" i="6"/>
  <c r="H40" i="12" s="1"/>
  <c r="S5" i="1"/>
  <c r="I15" i="6"/>
  <c r="H39" i="12" s="1"/>
  <c r="D47" i="19"/>
  <c r="F29" i="6"/>
  <c r="R5" i="1"/>
  <c r="E44" i="19"/>
  <c r="T5" i="1"/>
  <c r="F64" i="1"/>
  <c r="E41" i="19"/>
  <c r="H15" i="6"/>
  <c r="G15" i="6"/>
  <c r="H37" i="12" s="1"/>
  <c r="U46" i="19"/>
  <c r="K5" i="1"/>
  <c r="D37" i="12" s="1"/>
  <c r="D45" i="12" s="1"/>
  <c r="V64" i="1"/>
  <c r="U41" i="19"/>
  <c r="AK64" i="1"/>
  <c r="AJ41" i="19"/>
  <c r="U43" i="19"/>
  <c r="K7" i="1"/>
  <c r="Q5" i="1"/>
  <c r="H38" i="12" l="1"/>
  <c r="K69" i="17"/>
  <c r="K66" i="17"/>
  <c r="K47" i="17"/>
  <c r="K67" i="17"/>
  <c r="K57" i="17"/>
  <c r="K55" i="17"/>
  <c r="K58" i="17"/>
  <c r="K48" i="17"/>
  <c r="K46" i="17"/>
  <c r="K31" i="17"/>
  <c r="K51" i="17"/>
  <c r="K27" i="17"/>
  <c r="K62" i="17"/>
  <c r="K26" i="17"/>
  <c r="F8" i="17" s="1"/>
  <c r="K54" i="17"/>
  <c r="K38" i="17"/>
  <c r="K74" i="17"/>
  <c r="K36" i="17"/>
  <c r="K75" i="17"/>
  <c r="K73" i="17"/>
  <c r="K32" i="17"/>
  <c r="K37" i="17"/>
  <c r="K53" i="17"/>
  <c r="K70" i="17"/>
  <c r="K65" i="17"/>
  <c r="K63" i="17"/>
  <c r="K39" i="17"/>
  <c r="K49" i="17"/>
  <c r="K71" i="17"/>
  <c r="K68" i="17"/>
  <c r="K56" i="17"/>
  <c r="K29" i="17"/>
  <c r="K34" i="17"/>
  <c r="K52" i="17"/>
  <c r="K72" i="17"/>
  <c r="K45" i="17"/>
  <c r="K40" i="17"/>
  <c r="K30" i="17"/>
  <c r="K35" i="17"/>
  <c r="K64" i="17"/>
  <c r="K76" i="17"/>
  <c r="K50" i="17"/>
  <c r="K44" i="17"/>
  <c r="K28" i="17"/>
  <c r="K33" i="17"/>
  <c r="E15" i="6"/>
  <c r="H32" i="12" s="1"/>
  <c r="F15" i="6"/>
  <c r="H31" i="12" s="1"/>
  <c r="AA69" i="17" l="1"/>
  <c r="AB69" i="17"/>
  <c r="L69" i="17"/>
  <c r="AD69" i="17"/>
  <c r="Z69" i="17"/>
  <c r="AC69" i="17"/>
  <c r="M69" i="17"/>
  <c r="AD66" i="17"/>
  <c r="AA66" i="17"/>
  <c r="AC66" i="17"/>
  <c r="M66" i="17"/>
  <c r="L66" i="17"/>
  <c r="AB66" i="17"/>
  <c r="Z66" i="17"/>
  <c r="AA47" i="17"/>
  <c r="AC47" i="17"/>
  <c r="AD47" i="17"/>
  <c r="M47" i="17"/>
  <c r="L47" i="17"/>
  <c r="Z47" i="17"/>
  <c r="AB47" i="17"/>
  <c r="AD67" i="17"/>
  <c r="AC67" i="17"/>
  <c r="Z67" i="17"/>
  <c r="AB67" i="17"/>
  <c r="AA67" i="17"/>
  <c r="M67" i="17"/>
  <c r="L67" i="17"/>
  <c r="AD57" i="17"/>
  <c r="AC57" i="17"/>
  <c r="AA57" i="17"/>
  <c r="AB57" i="17"/>
  <c r="Z57" i="17"/>
  <c r="L57" i="17"/>
  <c r="M57" i="17"/>
  <c r="AA55" i="17"/>
  <c r="AD55" i="17"/>
  <c r="L55" i="17"/>
  <c r="M55" i="17"/>
  <c r="AC55" i="17"/>
  <c r="Z55" i="17"/>
  <c r="AB55" i="17"/>
  <c r="AC58" i="17"/>
  <c r="M58" i="17"/>
  <c r="L58" i="17"/>
  <c r="AB58" i="17"/>
  <c r="AA58" i="17"/>
  <c r="Z58" i="17"/>
  <c r="AD58" i="17"/>
  <c r="AC48" i="17"/>
  <c r="AA48" i="17"/>
  <c r="M48" i="17"/>
  <c r="Z48" i="17"/>
  <c r="AD48" i="17"/>
  <c r="AB48" i="17"/>
  <c r="L48" i="17"/>
  <c r="AA46" i="17"/>
  <c r="M46" i="17"/>
  <c r="AC46" i="17"/>
  <c r="Z46" i="17"/>
  <c r="AD46" i="17"/>
  <c r="AB46" i="17"/>
  <c r="L46" i="17"/>
  <c r="AA31" i="17"/>
  <c r="Z31" i="17"/>
  <c r="AD31" i="17"/>
  <c r="M31" i="17"/>
  <c r="F11" i="18" s="1"/>
  <c r="G11" i="18" s="1"/>
  <c r="AC31" i="17"/>
  <c r="L31" i="17"/>
  <c r="AB31" i="17"/>
  <c r="AC51" i="17"/>
  <c r="AA51" i="17"/>
  <c r="AD51" i="17"/>
  <c r="M51" i="17"/>
  <c r="Z51" i="17"/>
  <c r="AB51" i="17"/>
  <c r="L51" i="17"/>
  <c r="Z27" i="17"/>
  <c r="AD27" i="17"/>
  <c r="AA27" i="17"/>
  <c r="L27" i="17"/>
  <c r="M27" i="17"/>
  <c r="F7" i="18" s="1"/>
  <c r="G7" i="18" s="1"/>
  <c r="AC27" i="17"/>
  <c r="AB27" i="17"/>
  <c r="AD62" i="17"/>
  <c r="AA62" i="17"/>
  <c r="AC62" i="17"/>
  <c r="AB62" i="17"/>
  <c r="L62" i="17"/>
  <c r="Z62" i="17"/>
  <c r="M62" i="17"/>
  <c r="F18" i="17"/>
  <c r="F11" i="17"/>
  <c r="F10" i="17"/>
  <c r="F21" i="17"/>
  <c r="AB26" i="17"/>
  <c r="Z26" i="17"/>
  <c r="F13" i="17"/>
  <c r="AC26" i="17"/>
  <c r="AA26" i="17"/>
  <c r="F20" i="17"/>
  <c r="F16" i="17"/>
  <c r="F12" i="17"/>
  <c r="F22" i="17"/>
  <c r="F9" i="17"/>
  <c r="M9" i="17" s="1"/>
  <c r="F19" i="17"/>
  <c r="AD26" i="17"/>
  <c r="F17" i="17"/>
  <c r="M26" i="17"/>
  <c r="F6" i="18" s="1"/>
  <c r="G6" i="18" s="1"/>
  <c r="H6" i="18" s="1"/>
  <c r="F15" i="17"/>
  <c r="F14" i="17"/>
  <c r="L26" i="17"/>
  <c r="AC54" i="17"/>
  <c r="AA54" i="17"/>
  <c r="L54" i="17"/>
  <c r="AB54" i="17"/>
  <c r="M54" i="17"/>
  <c r="Z54" i="17"/>
  <c r="AD54" i="17"/>
  <c r="AC38" i="17"/>
  <c r="M38" i="17"/>
  <c r="F18" i="18" s="1"/>
  <c r="G18" i="18" s="1"/>
  <c r="AB38" i="17"/>
  <c r="Z38" i="17"/>
  <c r="AA38" i="17"/>
  <c r="L38" i="17"/>
  <c r="AD38" i="17"/>
  <c r="AD74" i="17"/>
  <c r="Z74" i="17"/>
  <c r="AB74" i="17"/>
  <c r="AC74" i="17"/>
  <c r="L74" i="17"/>
  <c r="AA74" i="17"/>
  <c r="M74" i="17"/>
  <c r="AA36" i="17"/>
  <c r="AB36" i="17"/>
  <c r="AC36" i="17"/>
  <c r="Z36" i="17"/>
  <c r="L36" i="17"/>
  <c r="M36" i="17"/>
  <c r="F16" i="18" s="1"/>
  <c r="G16" i="18" s="1"/>
  <c r="H16" i="18" s="1"/>
  <c r="AD36" i="17"/>
  <c r="AD75" i="17"/>
  <c r="AB75" i="17"/>
  <c r="M75" i="17"/>
  <c r="AC75" i="17"/>
  <c r="AA75" i="17"/>
  <c r="Z75" i="17"/>
  <c r="L75" i="17"/>
  <c r="AC73" i="17"/>
  <c r="AD73" i="17"/>
  <c r="AA73" i="17"/>
  <c r="L73" i="17"/>
  <c r="Z73" i="17"/>
  <c r="AB73" i="17"/>
  <c r="M73" i="17"/>
  <c r="Z32" i="17"/>
  <c r="AC32" i="17"/>
  <c r="M32" i="17"/>
  <c r="F12" i="18" s="1"/>
  <c r="G12" i="18" s="1"/>
  <c r="AB32" i="17"/>
  <c r="L32" i="17"/>
  <c r="AA32" i="17"/>
  <c r="AD32" i="17"/>
  <c r="AC37" i="17"/>
  <c r="AB37" i="17"/>
  <c r="M37" i="17"/>
  <c r="F17" i="18" s="1"/>
  <c r="G17" i="18" s="1"/>
  <c r="AA37" i="17"/>
  <c r="Z37" i="17"/>
  <c r="AD37" i="17"/>
  <c r="L37" i="17"/>
  <c r="AD53" i="17"/>
  <c r="Z53" i="17"/>
  <c r="AA53" i="17"/>
  <c r="L53" i="17"/>
  <c r="AC53" i="17"/>
  <c r="AB53" i="17"/>
  <c r="M53" i="17"/>
  <c r="AD70" i="17"/>
  <c r="AA70" i="17"/>
  <c r="AC70" i="17"/>
  <c r="L70" i="17"/>
  <c r="Z70" i="17"/>
  <c r="AB70" i="17"/>
  <c r="M70" i="17"/>
  <c r="AD65" i="17"/>
  <c r="L65" i="17"/>
  <c r="AC65" i="17"/>
  <c r="AA65" i="17"/>
  <c r="M65" i="17"/>
  <c r="AB65" i="17"/>
  <c r="Z65" i="17"/>
  <c r="AA63" i="17"/>
  <c r="AD63" i="17"/>
  <c r="AC63" i="17"/>
  <c r="M63" i="17"/>
  <c r="Z63" i="17"/>
  <c r="AB63" i="17"/>
  <c r="L63" i="17"/>
  <c r="AD39" i="17"/>
  <c r="AA39" i="17"/>
  <c r="Z39" i="17"/>
  <c r="M39" i="17"/>
  <c r="F19" i="18" s="1"/>
  <c r="G19" i="18" s="1"/>
  <c r="AC39" i="17"/>
  <c r="AB39" i="17"/>
  <c r="L39" i="17"/>
  <c r="AC49" i="17"/>
  <c r="AD49" i="17"/>
  <c r="Z49" i="17"/>
  <c r="AA49" i="17"/>
  <c r="AB49" i="17"/>
  <c r="M49" i="17"/>
  <c r="L49" i="17"/>
  <c r="AA71" i="17"/>
  <c r="AD71" i="17"/>
  <c r="AC71" i="17"/>
  <c r="M71" i="17"/>
  <c r="AB71" i="17"/>
  <c r="L71" i="17"/>
  <c r="Z71" i="17"/>
  <c r="Z68" i="17"/>
  <c r="AC68" i="17"/>
  <c r="AD68" i="17"/>
  <c r="AB68" i="17"/>
  <c r="L68" i="17"/>
  <c r="AA68" i="17"/>
  <c r="M68" i="17"/>
  <c r="AD56" i="17"/>
  <c r="L56" i="17"/>
  <c r="AA56" i="17"/>
  <c r="AC56" i="17"/>
  <c r="Z56" i="17"/>
  <c r="AB56" i="17"/>
  <c r="M56" i="17"/>
  <c r="AD29" i="17"/>
  <c r="AC29" i="17"/>
  <c r="AA29" i="17"/>
  <c r="M29" i="17"/>
  <c r="F9" i="18" s="1"/>
  <c r="G9" i="18" s="1"/>
  <c r="Z29" i="17"/>
  <c r="L29" i="17"/>
  <c r="AB29" i="17"/>
  <c r="AC34" i="17"/>
  <c r="AD34" i="17"/>
  <c r="AA34" i="17"/>
  <c r="M34" i="17"/>
  <c r="F14" i="18" s="1"/>
  <c r="G14" i="18" s="1"/>
  <c r="AB34" i="17"/>
  <c r="Z34" i="17"/>
  <c r="L34" i="17"/>
  <c r="AD52" i="17"/>
  <c r="L52" i="17"/>
  <c r="AA52" i="17"/>
  <c r="AB52" i="17"/>
  <c r="Z52" i="17"/>
  <c r="AC52" i="17"/>
  <c r="M52" i="17"/>
  <c r="AD72" i="17"/>
  <c r="AA72" i="17"/>
  <c r="AC72" i="17"/>
  <c r="Z72" i="17"/>
  <c r="M72" i="17"/>
  <c r="AB72" i="17"/>
  <c r="L72" i="17"/>
  <c r="AC45" i="17"/>
  <c r="AD45" i="17"/>
  <c r="AA45" i="17"/>
  <c r="M45" i="17"/>
  <c r="Z45" i="17"/>
  <c r="AB45" i="17"/>
  <c r="L45" i="17"/>
  <c r="AA40" i="17"/>
  <c r="AD40" i="17"/>
  <c r="AC40" i="17"/>
  <c r="AB40" i="17"/>
  <c r="M40" i="17"/>
  <c r="F20" i="18" s="1"/>
  <c r="G20" i="18" s="1"/>
  <c r="H20" i="18" s="1"/>
  <c r="L40" i="17"/>
  <c r="Z40" i="17"/>
  <c r="L30" i="17"/>
  <c r="AA30" i="17"/>
  <c r="AB30" i="17"/>
  <c r="AC30" i="17"/>
  <c r="Z30" i="17"/>
  <c r="AD30" i="17"/>
  <c r="M30" i="17"/>
  <c r="F10" i="18" s="1"/>
  <c r="G10" i="18" s="1"/>
  <c r="AC35" i="17"/>
  <c r="AA35" i="17"/>
  <c r="AB35" i="17"/>
  <c r="AD35" i="17"/>
  <c r="Z35" i="17"/>
  <c r="L35" i="17"/>
  <c r="M35" i="17"/>
  <c r="F15" i="18" s="1"/>
  <c r="G15" i="18" s="1"/>
  <c r="AD64" i="17"/>
  <c r="AB64" i="17"/>
  <c r="AA64" i="17"/>
  <c r="AC64" i="17"/>
  <c r="L64" i="17"/>
  <c r="M64" i="17"/>
  <c r="Z64" i="17"/>
  <c r="AB76" i="17"/>
  <c r="AC76" i="17"/>
  <c r="Z76" i="17"/>
  <c r="L76" i="17"/>
  <c r="AD76" i="17"/>
  <c r="M76" i="17"/>
  <c r="AA76" i="17"/>
  <c r="L50" i="17"/>
  <c r="M50" i="17"/>
  <c r="AC50" i="17"/>
  <c r="AB50" i="17"/>
  <c r="AA50" i="17"/>
  <c r="Z50" i="17"/>
  <c r="AD50" i="17"/>
  <c r="AC44" i="17"/>
  <c r="AA44" i="17"/>
  <c r="AB44" i="17"/>
  <c r="M44" i="17"/>
  <c r="AD44" i="17"/>
  <c r="Z44" i="17"/>
  <c r="L44" i="17"/>
  <c r="AC28" i="17"/>
  <c r="AA28" i="17"/>
  <c r="AD28" i="17"/>
  <c r="M28" i="17"/>
  <c r="F8" i="18" s="1"/>
  <c r="G8" i="18" s="1"/>
  <c r="Z28" i="17"/>
  <c r="AB28" i="17"/>
  <c r="L28" i="17"/>
  <c r="AC33" i="17"/>
  <c r="Z33" i="17"/>
  <c r="AA33" i="17"/>
  <c r="L33" i="17"/>
  <c r="AB33" i="17"/>
  <c r="AD33" i="17"/>
  <c r="M33" i="17"/>
  <c r="F13" i="18" s="1"/>
  <c r="G13" i="18" s="1"/>
  <c r="H11" i="18" l="1"/>
  <c r="P10" i="18"/>
  <c r="H7" i="18"/>
  <c r="P6" i="18"/>
  <c r="H18" i="17"/>
  <c r="L18" i="17"/>
  <c r="M18" i="17"/>
  <c r="H11" i="17"/>
  <c r="L11" i="17"/>
  <c r="M11" i="17"/>
  <c r="M10" i="17"/>
  <c r="H10" i="17"/>
  <c r="L10" i="17"/>
  <c r="H21" i="17"/>
  <c r="L21" i="17"/>
  <c r="M21" i="17"/>
  <c r="H13" i="17"/>
  <c r="L13" i="17"/>
  <c r="M13" i="17"/>
  <c r="L20" i="17"/>
  <c r="H20" i="17"/>
  <c r="M20" i="17"/>
  <c r="H16" i="17"/>
  <c r="L16" i="17"/>
  <c r="M16" i="17"/>
  <c r="K23" i="6"/>
  <c r="H8" i="17"/>
  <c r="L8" i="17"/>
  <c r="M8" i="17"/>
  <c r="H12" i="17"/>
  <c r="L12" i="17"/>
  <c r="M12" i="17"/>
  <c r="H22" i="17"/>
  <c r="L22" i="17"/>
  <c r="M22" i="17"/>
  <c r="L9" i="17"/>
  <c r="H9" i="17"/>
  <c r="M19" i="17"/>
  <c r="H19" i="17"/>
  <c r="L19" i="17"/>
  <c r="L17" i="17"/>
  <c r="H17" i="17"/>
  <c r="M17" i="17"/>
  <c r="M15" i="17"/>
  <c r="H15" i="17"/>
  <c r="L15" i="17"/>
  <c r="H14" i="17"/>
  <c r="M14" i="17"/>
  <c r="L14" i="17"/>
  <c r="H18" i="18"/>
  <c r="P19" i="18"/>
  <c r="P15" i="18"/>
  <c r="I15" i="18" s="1"/>
  <c r="P17" i="18"/>
  <c r="I17" i="18" s="1"/>
  <c r="P11" i="18"/>
  <c r="H12" i="18"/>
  <c r="H17" i="18"/>
  <c r="P18" i="18"/>
  <c r="H19" i="18"/>
  <c r="P20" i="18"/>
  <c r="P8" i="18"/>
  <c r="H9" i="18"/>
  <c r="P13" i="18"/>
  <c r="H14" i="18"/>
  <c r="H10" i="18"/>
  <c r="P9" i="18"/>
  <c r="H15" i="18"/>
  <c r="P14" i="18"/>
  <c r="H8" i="18"/>
  <c r="P7" i="18"/>
  <c r="P12" i="18"/>
  <c r="H13" i="18"/>
  <c r="N14" i="17" l="1"/>
  <c r="J12" i="18" s="1"/>
  <c r="N15" i="17"/>
  <c r="J13" i="18" s="1"/>
  <c r="N10" i="17"/>
  <c r="J8" i="18" s="1"/>
  <c r="N8" i="17"/>
  <c r="J6" i="18" s="1"/>
  <c r="I18" i="18"/>
  <c r="I19" i="18" s="1"/>
  <c r="I20" i="18" s="1"/>
  <c r="N20" i="17"/>
  <c r="J18" i="18" s="1"/>
  <c r="N19" i="17"/>
  <c r="J17" i="18" s="1"/>
  <c r="K17" i="18" s="1"/>
  <c r="R17" i="18" s="1"/>
  <c r="H33" i="12"/>
  <c r="H35" i="12" s="1"/>
  <c r="H36" i="12" s="1"/>
  <c r="M23" i="6"/>
  <c r="H34" i="12" s="1"/>
  <c r="N18" i="17"/>
  <c r="J16" i="18" s="1"/>
  <c r="K16" i="18" s="1"/>
  <c r="N11" i="17"/>
  <c r="J9" i="18" s="1"/>
  <c r="N21" i="17"/>
  <c r="J19" i="18" s="1"/>
  <c r="N13" i="17"/>
  <c r="J11" i="18" s="1"/>
  <c r="N12" i="17"/>
  <c r="J10" i="18" s="1"/>
  <c r="I14" i="18"/>
  <c r="N16" i="17"/>
  <c r="J14" i="18" s="1"/>
  <c r="N22" i="17"/>
  <c r="J20" i="18" s="1"/>
  <c r="N9" i="17"/>
  <c r="J7" i="18" s="1"/>
  <c r="N17" i="17"/>
  <c r="J15" i="18" s="1"/>
  <c r="K15" i="18" s="1"/>
  <c r="R15" i="18" s="1"/>
  <c r="K18" i="18" l="1"/>
  <c r="R18" i="18" s="1"/>
  <c r="K19" i="18"/>
  <c r="R19" i="18" s="1"/>
  <c r="R16" i="18"/>
  <c r="Q10" i="6"/>
  <c r="V5" i="1" s="1"/>
  <c r="K14" i="18"/>
  <c r="R14" i="18" s="1"/>
  <c r="I13" i="18"/>
  <c r="K20" i="18"/>
  <c r="R20" i="18" s="1"/>
  <c r="D35" i="12" l="1"/>
  <c r="D47" i="12" s="1"/>
  <c r="J5" i="1"/>
  <c r="D36" i="12" s="1"/>
  <c r="O5" i="1"/>
  <c r="P5" i="1" s="1"/>
  <c r="U5" i="1" s="1"/>
  <c r="K13" i="18"/>
  <c r="R13" i="18" s="1"/>
  <c r="I12" i="18"/>
  <c r="O28" i="12" l="1"/>
  <c r="D43" i="12"/>
  <c r="D48" i="12" s="1"/>
  <c r="D49" i="12" s="1"/>
  <c r="K12" i="18"/>
  <c r="R12" i="18" s="1"/>
  <c r="I11" i="18"/>
  <c r="P28" i="12" l="1"/>
  <c r="Q28" i="12"/>
  <c r="K11" i="18"/>
  <c r="R11" i="18" s="1"/>
  <c r="I10" i="18"/>
  <c r="K10" i="18" l="1"/>
  <c r="R10" i="18" s="1"/>
  <c r="I9" i="18"/>
  <c r="K9" i="18" l="1"/>
  <c r="R9" i="18" s="1"/>
  <c r="I8" i="18"/>
  <c r="K8" i="18" l="1"/>
  <c r="R8" i="18" s="1"/>
  <c r="I7" i="18"/>
  <c r="K7" i="18" l="1"/>
  <c r="R7" i="18" s="1"/>
  <c r="I6" i="18"/>
  <c r="K6" i="18" s="1"/>
  <c r="R6" i="18" s="1"/>
</calcChain>
</file>

<file path=xl/sharedStrings.xml><?xml version="1.0" encoding="utf-8"?>
<sst xmlns="http://schemas.openxmlformats.org/spreadsheetml/2006/main" count="765" uniqueCount="214">
  <si>
    <t>Underlying</t>
  </si>
  <si>
    <t>Spot Price</t>
  </si>
  <si>
    <t>Forward Growth</t>
  </si>
  <si>
    <t>Volatility</t>
  </si>
  <si>
    <t>Strike</t>
  </si>
  <si>
    <t>Maturity</t>
  </si>
  <si>
    <t>Valuation Date</t>
  </si>
  <si>
    <t>Forward</t>
  </si>
  <si>
    <t>Delta</t>
  </si>
  <si>
    <t>Vega</t>
  </si>
  <si>
    <t>Rho</t>
  </si>
  <si>
    <t>Theta</t>
  </si>
  <si>
    <t>Price (INR)</t>
  </si>
  <si>
    <t>C/P</t>
  </si>
  <si>
    <t>Price (%age)</t>
  </si>
  <si>
    <t>Term</t>
  </si>
  <si>
    <t>Date</t>
  </si>
  <si>
    <t>Days</t>
  </si>
  <si>
    <t xml:space="preserve"> Rate (%pa)</t>
  </si>
  <si>
    <t>Discount Factor</t>
  </si>
  <si>
    <t>Dividends</t>
  </si>
  <si>
    <t>Implied Dividends</t>
  </si>
  <si>
    <t>Contracts</t>
  </si>
  <si>
    <t>Delta (Contracts)</t>
  </si>
  <si>
    <t>Option Value (INR)</t>
  </si>
  <si>
    <t>Delta (INR)</t>
  </si>
  <si>
    <t>Theta (INR)</t>
  </si>
  <si>
    <t>Vega (INR)</t>
  </si>
  <si>
    <t>Rho (INR)</t>
  </si>
  <si>
    <t>P</t>
  </si>
  <si>
    <t>Discount Yield</t>
  </si>
  <si>
    <t>Gamma</t>
  </si>
  <si>
    <t>Gamma(Contracts)</t>
  </si>
  <si>
    <t>Upper Maturity</t>
  </si>
  <si>
    <t>Lower Maturity</t>
  </si>
  <si>
    <t>Upper Forward</t>
  </si>
  <si>
    <t>Lower Forward</t>
  </si>
  <si>
    <t>Inc. Margin</t>
  </si>
  <si>
    <t>Cost (INR)</t>
  </si>
  <si>
    <t>Vol Bump</t>
  </si>
  <si>
    <t>Margin Cost</t>
  </si>
  <si>
    <t>Vol - Bid/Offer</t>
  </si>
  <si>
    <t>Div - bid/offer</t>
  </si>
  <si>
    <t>Rate Cap (while buying Fwd)</t>
  </si>
  <si>
    <t>Rate Cap (while selling Fwd)</t>
  </si>
  <si>
    <t>BID/OFFER</t>
  </si>
  <si>
    <t>Margin adj. Price</t>
  </si>
  <si>
    <t>B</t>
  </si>
  <si>
    <t>Full Margin</t>
  </si>
  <si>
    <t>BID</t>
  </si>
  <si>
    <t>Trade Date</t>
  </si>
  <si>
    <t>Spread</t>
  </si>
  <si>
    <t>Mobilization</t>
  </si>
  <si>
    <t>Inbuilt (Rs.)</t>
  </si>
  <si>
    <t>Net mobilization</t>
  </si>
  <si>
    <t>Premium</t>
  </si>
  <si>
    <t>Tenor</t>
  </si>
  <si>
    <t>Payout</t>
  </si>
  <si>
    <t>Coupon</t>
  </si>
  <si>
    <t>Expiry</t>
  </si>
  <si>
    <t>Trans Cost (%)</t>
  </si>
  <si>
    <t>Trans Cost (Rs.)</t>
  </si>
  <si>
    <t>Margin Cost (%)</t>
  </si>
  <si>
    <t>Issu Cost (%)</t>
  </si>
  <si>
    <t>IRR</t>
  </si>
  <si>
    <t>NBFC Rate (%)</t>
  </si>
  <si>
    <t>Prem Rate (%)</t>
  </si>
  <si>
    <t>Fwd Sell rate</t>
  </si>
  <si>
    <t>Prod Cost (%)*</t>
  </si>
  <si>
    <t>Action</t>
  </si>
  <si>
    <t>Total Coupon</t>
  </si>
  <si>
    <t>Decay</t>
  </si>
  <si>
    <t>PP till</t>
  </si>
  <si>
    <t>To Loose</t>
  </si>
  <si>
    <t>To Loose in Spread1</t>
  </si>
  <si>
    <t>To Loose in Spread2</t>
  </si>
  <si>
    <t>Dates</t>
  </si>
  <si>
    <t>NBFC Rate</t>
  </si>
  <si>
    <t>IB</t>
  </si>
  <si>
    <t>Protection</t>
  </si>
  <si>
    <t>Prem Rate</t>
  </si>
  <si>
    <t>Spread 1 PR</t>
  </si>
  <si>
    <t>Spread 2 PR</t>
  </si>
  <si>
    <t>Spread 1 Buy</t>
  </si>
  <si>
    <t>Spread 2 Buy</t>
  </si>
  <si>
    <t>Spread 1 Sell</t>
  </si>
  <si>
    <t>Spread 2 Sell</t>
  </si>
  <si>
    <t>Delta %</t>
  </si>
  <si>
    <t>Vol</t>
  </si>
  <si>
    <t>Prod Specs</t>
  </si>
  <si>
    <t>Prod Greeks</t>
  </si>
  <si>
    <t>Vega INR (Cr.)</t>
  </si>
  <si>
    <t>Rho INR (Cr.)</t>
  </si>
  <si>
    <t>Notional (Cr.)</t>
  </si>
  <si>
    <t>Option Expiry</t>
  </si>
  <si>
    <t>Spread 2 width</t>
  </si>
  <si>
    <t>Option</t>
  </si>
  <si>
    <t>Sum of Contracts</t>
  </si>
  <si>
    <t>Values</t>
  </si>
  <si>
    <t>Average of Price</t>
  </si>
  <si>
    <t>C</t>
  </si>
  <si>
    <t>Inbuilt</t>
  </si>
  <si>
    <t>Issuance Cost</t>
  </si>
  <si>
    <t>Transaction Cost</t>
  </si>
  <si>
    <t>Amount with NBFC</t>
  </si>
  <si>
    <t>Premium Rate</t>
  </si>
  <si>
    <t>Tenor (In Days)</t>
  </si>
  <si>
    <t>Maturity Amount</t>
  </si>
  <si>
    <t>Futures Required</t>
  </si>
  <si>
    <t>Initial Investment INR (Cr.)</t>
  </si>
  <si>
    <t>Leverage</t>
  </si>
  <si>
    <t>Greek Details for the product :</t>
  </si>
  <si>
    <t>Amount left with NBFC</t>
  </si>
  <si>
    <t>Premium INR (Cr.)</t>
  </si>
  <si>
    <t>Wtd Avg Forward (Futures Rollover Cost)</t>
  </si>
  <si>
    <t>* Non Greek Pass through Product</t>
  </si>
  <si>
    <t>Vol Bump*</t>
  </si>
  <si>
    <t>*Vol Bump equivalent to the option trade done on the exchange today. We have already sold ~1.24 lakh qty of 9000 Dec22 Puts, which will hedge ~53.3 cr worth of this product</t>
  </si>
  <si>
    <t>Margin</t>
  </si>
  <si>
    <t>Margin Details</t>
  </si>
  <si>
    <r>
      <t xml:space="preserve">Product 1 - Protected Call </t>
    </r>
    <r>
      <rPr>
        <u/>
        <sz val="10"/>
        <color theme="1"/>
        <rFont val="Calibri"/>
        <family val="2"/>
        <scheme val="minor"/>
      </rPr>
      <t>(For 100 cr.)</t>
    </r>
  </si>
  <si>
    <t>Interest Credit on Margin</t>
  </si>
  <si>
    <t>Target Level</t>
  </si>
  <si>
    <t>Product Details:</t>
  </si>
  <si>
    <t>Wtd Avg Vol (ARGFL Net Buyer of PUTs)</t>
  </si>
  <si>
    <t>Funds Earmarked for Margin INR (Cr.)</t>
  </si>
  <si>
    <t>Product Payoff</t>
  </si>
  <si>
    <t>Product Returns</t>
  </si>
  <si>
    <t>Pre Tax IRR</t>
  </si>
  <si>
    <t>Product Payoff Comparison: 1.4x Leverage v Traditional Product</t>
  </si>
  <si>
    <t>Cust Prod Returns</t>
  </si>
  <si>
    <t>Trad Prod Returns</t>
  </si>
  <si>
    <t>Margin Growth Rate</t>
  </si>
  <si>
    <t>% Move</t>
  </si>
  <si>
    <t>MTM (cr.)</t>
  </si>
  <si>
    <t>Switch</t>
  </si>
  <si>
    <t>Total Req (cr.)</t>
  </si>
  <si>
    <t>Inbuilt (Cr.)</t>
  </si>
  <si>
    <t>Issuance Cost (Cr.)</t>
  </si>
  <si>
    <t>Transaction Cost (Cr.)</t>
  </si>
  <si>
    <t>Margin (Cr.)</t>
  </si>
  <si>
    <t>Maturity Amount (Cr.)</t>
  </si>
  <si>
    <t>Options Details (For 100 cr.)</t>
  </si>
  <si>
    <t>Qty (lacs)</t>
  </si>
  <si>
    <t>Px.</t>
  </si>
  <si>
    <t>Premium (cr.)</t>
  </si>
  <si>
    <t>Total</t>
  </si>
  <si>
    <t>Options Qty Required for Vega Hedge</t>
  </si>
  <si>
    <t>Options Premium Received (Cr.)</t>
  </si>
  <si>
    <r>
      <t xml:space="preserve">Options Delta </t>
    </r>
    <r>
      <rPr>
        <sz val="10"/>
        <color rgb="FFC00000"/>
        <rFont val="Calibri"/>
        <family val="2"/>
        <scheme val="minor"/>
      </rPr>
      <t>(B)</t>
    </r>
  </si>
  <si>
    <r>
      <t xml:space="preserve">Residual Futures to be done </t>
    </r>
    <r>
      <rPr>
        <sz val="10"/>
        <color rgb="FFC00000"/>
        <rFont val="Calibri"/>
        <family val="2"/>
        <scheme val="minor"/>
      </rPr>
      <t>(A) - (B)</t>
    </r>
  </si>
  <si>
    <r>
      <t xml:space="preserve">Total Delta Required </t>
    </r>
    <r>
      <rPr>
        <sz val="10"/>
        <color rgb="FFC00000"/>
        <rFont val="Calibri"/>
        <family val="2"/>
        <scheme val="minor"/>
      </rPr>
      <t>(A)</t>
    </r>
  </si>
  <si>
    <t>Vega Hedge (For 100 cr.)</t>
  </si>
  <si>
    <t>Delta:</t>
  </si>
  <si>
    <t>NSE Px. Fwd.</t>
  </si>
  <si>
    <t>Str. Px. Fwd.</t>
  </si>
  <si>
    <t>NSE Px. Disc. Rt.</t>
  </si>
  <si>
    <t>Str. Px. Disc. Rt.</t>
  </si>
  <si>
    <t>Source: FOVOLT_ddmmyyyy.csv fron NSE</t>
  </si>
  <si>
    <t>Margin Computation</t>
  </si>
  <si>
    <t>Qty</t>
  </si>
  <si>
    <t>Day1 Fair Px.</t>
  </si>
  <si>
    <t>Prem. (cr.)</t>
  </si>
  <si>
    <t>NSE Px.</t>
  </si>
  <si>
    <t>Stressed Px.</t>
  </si>
  <si>
    <t>Fair Px.</t>
  </si>
  <si>
    <t>Initial Margin (cr.)</t>
  </si>
  <si>
    <t>Exp. Margin (cr.)</t>
  </si>
  <si>
    <t>Tot. Margin (cr.)</t>
  </si>
  <si>
    <t>Fair Px. Computation</t>
  </si>
  <si>
    <t>NSE Px. Computation</t>
  </si>
  <si>
    <t>Stressed Px. Computation</t>
  </si>
  <si>
    <t>Fut. Margin</t>
  </si>
  <si>
    <t>Prd Req. (L)</t>
  </si>
  <si>
    <t>Opt. Delta (L)</t>
  </si>
  <si>
    <t>Resid. Fut. (L)</t>
  </si>
  <si>
    <t>Fut. Margin (cr.)</t>
  </si>
  <si>
    <t>Options Margin (cr.)</t>
  </si>
  <si>
    <t>A</t>
  </si>
  <si>
    <t>(A + B + C)</t>
  </si>
  <si>
    <t>Wtg Avg Annual Comp Rate</t>
  </si>
  <si>
    <t>Wtg Avg Half yearly Comp Rate</t>
  </si>
  <si>
    <t>Wtg  Avg Quarterly Comp Rate</t>
  </si>
  <si>
    <t>Delta Qty</t>
  </si>
  <si>
    <t>Day 1 Vega Hedge</t>
  </si>
  <si>
    <t>Actual IB (%)</t>
  </si>
  <si>
    <t>Prem(cr.)</t>
  </si>
  <si>
    <t>Final Expiries</t>
  </si>
  <si>
    <t>NA</t>
  </si>
  <si>
    <t>Cost</t>
  </si>
  <si>
    <t>Margin growth rate</t>
  </si>
  <si>
    <t>Maturity Details</t>
  </si>
  <si>
    <t>NBFC Growth Rate</t>
  </si>
  <si>
    <t>Premium Growth Rate</t>
  </si>
  <si>
    <t>Final Premium INR (Cr.)</t>
  </si>
  <si>
    <t>Amount with NBFC (Cr.)</t>
  </si>
  <si>
    <t>Final Amount with NBFC (Cr.)</t>
  </si>
  <si>
    <t>Final Margin (Cr.)</t>
  </si>
  <si>
    <t>(Product Cost is a total of Tran Cost, Issu Cost &amp; Margin Cost)</t>
  </si>
  <si>
    <t>Sensex</t>
  </si>
  <si>
    <t>Sensex Spot</t>
  </si>
  <si>
    <t>Sensex Derived Spot</t>
  </si>
  <si>
    <t>Sensex ACCELERATOR</t>
  </si>
  <si>
    <t>Tgt Sensex</t>
  </si>
  <si>
    <t>Sensex Daily Vol</t>
  </si>
  <si>
    <t>Sensex Ann. Vol</t>
  </si>
  <si>
    <t>Closing Sensex</t>
  </si>
  <si>
    <t>Start Sensex</t>
  </si>
  <si>
    <t>Sensex Returns</t>
  </si>
  <si>
    <t>Product 2 : Sensex Magnifier Customized 40% PP 1.4x Leverage (For 100 Cr.)</t>
  </si>
  <si>
    <t>Sensex Start Level is Trade date's closing Sensex level rounded off to next 100 plus 100 pts</t>
  </si>
  <si>
    <t>Sensex Perf.</t>
  </si>
  <si>
    <t>Sensex Start Level is Trade date's closing Sensex level plus 0.6% of trade date Sensex closing level rounded off to Next 100</t>
  </si>
  <si>
    <t>Exposure margin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</si>
</sst>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₹&quot;\ #,##0;[Red]&quot;₹&quot;\ \-#,##0"/>
    <numFmt numFmtId="8" formatCode="&quot;₹&quot;\ #,##0.00;[Red]&quot;₹&quot;\ \-#,##0.00"/>
    <numFmt numFmtId="43" formatCode="_ * #,##0.00_ ;_ * \-#,##0.00_ ;_ * &quot;-&quot;??_ ;_ @_ "/>
    <numFmt numFmtId="164" formatCode="0.0%"/>
    <numFmt numFmtId="165" formatCode="_ * #,##0.000_ ;_ * \-#,##0.000_ ;_ * &quot;-&quot;??_ ;_ @_ "/>
    <numFmt numFmtId="166" formatCode="_ * #,##0_ ;_ * \-#,##0_ ;_ * &quot;-&quot;??_ ;_ @_ "/>
    <numFmt numFmtId="167" formatCode="#,##0_ ;\-#,##0\ "/>
    <numFmt numFmtId="168" formatCode="0.0"/>
    <numFmt numFmtId="169" formatCode="0.000%"/>
    <numFmt numFmtId="170" formatCode="0.0000%"/>
    <numFmt numFmtId="171" formatCode="#,##0.00_ ;\-#,##0.00\ "/>
    <numFmt numFmtId="172" formatCode="&quot;₹&quot;\ #,##0.0;[Red]&quot;₹&quot;\ \-#,##0.0"/>
    <numFmt numFmtId="173" formatCode="[$-409]d/mmm/yy;@"/>
    <numFmt numFmtId="174" formatCode="0.000"/>
    <numFmt numFmtId="175" formatCode="#,##0.0000;[Red]#,##0.0000"/>
    <numFmt numFmtId="176" formatCode="_ * #,##0.0000_ ;_ * \-#,##0.0000_ ;_ * &quot;-&quot;??_ ;_ @_ "/>
    <numFmt numFmtId="177" formatCode="#,##0.0"/>
    <numFmt numFmtId="178" formatCode="0.0000"/>
    <numFmt numFmtId="179" formatCode="#,##0.0000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0"/>
      <color rgb="FF000000"/>
      <name val="MyFirstFont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F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4" borderId="1" applyNumberFormat="0" applyFont="0" applyAlignment="0" applyProtection="0"/>
  </cellStyleXfs>
  <cellXfs count="320">
    <xf numFmtId="0" fontId="0" fillId="0" borderId="0" xfId="0"/>
    <xf numFmtId="10" fontId="0" fillId="0" borderId="0" xfId="2" applyNumberFormat="1" applyFont="1"/>
    <xf numFmtId="6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/>
    </xf>
    <xf numFmtId="166" fontId="0" fillId="0" borderId="0" xfId="1" applyNumberFormat="1" applyFont="1"/>
    <xf numFmtId="4" fontId="0" fillId="0" borderId="0" xfId="2" applyNumberFormat="1" applyFont="1"/>
    <xf numFmtId="9" fontId="0" fillId="0" borderId="0" xfId="0" applyNumberFormat="1"/>
    <xf numFmtId="10" fontId="0" fillId="0" borderId="0" xfId="0" applyNumberFormat="1"/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2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2" fillId="0" borderId="0" xfId="0" applyFont="1"/>
    <xf numFmtId="166" fontId="0" fillId="0" borderId="0" xfId="0" applyNumberFormat="1"/>
    <xf numFmtId="170" fontId="0" fillId="0" borderId="0" xfId="2" applyNumberFormat="1" applyFont="1"/>
    <xf numFmtId="4" fontId="0" fillId="0" borderId="0" xfId="0" applyNumberFormat="1"/>
    <xf numFmtId="0" fontId="3" fillId="0" borderId="0" xfId="0" applyFont="1"/>
    <xf numFmtId="165" fontId="3" fillId="0" borderId="0" xfId="1" applyNumberFormat="1" applyFont="1"/>
    <xf numFmtId="15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" fontId="0" fillId="0" borderId="0" xfId="0" applyNumberFormat="1"/>
    <xf numFmtId="0" fontId="0" fillId="2" borderId="0" xfId="0" applyFill="1" applyAlignment="1">
      <alignment horizontal="center"/>
    </xf>
    <xf numFmtId="168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43" fontId="0" fillId="0" borderId="0" xfId="0" applyNumberFormat="1"/>
    <xf numFmtId="171" fontId="0" fillId="0" borderId="0" xfId="0" applyNumberFormat="1" applyAlignment="1">
      <alignment horizontal="center"/>
    </xf>
    <xf numFmtId="15" fontId="0" fillId="2" borderId="0" xfId="0" applyNumberFormat="1" applyFill="1"/>
    <xf numFmtId="15" fontId="2" fillId="0" borderId="0" xfId="0" applyNumberFormat="1" applyFont="1"/>
    <xf numFmtId="6" fontId="6" fillId="0" borderId="0" xfId="0" applyNumberFormat="1" applyFont="1"/>
    <xf numFmtId="0" fontId="6" fillId="0" borderId="0" xfId="0" applyFont="1"/>
    <xf numFmtId="166" fontId="7" fillId="0" borderId="0" xfId="0" applyNumberFormat="1" applyFont="1"/>
    <xf numFmtId="0" fontId="8" fillId="0" borderId="0" xfId="0" applyFont="1" applyAlignment="1">
      <alignment wrapText="1"/>
    </xf>
    <xf numFmtId="2" fontId="0" fillId="0" borderId="0" xfId="0" applyNumberFormat="1"/>
    <xf numFmtId="169" fontId="0" fillId="0" borderId="0" xfId="2" applyNumberFormat="1" applyFont="1"/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9" xfId="2" applyNumberFormat="1" applyFont="1" applyBorder="1" applyAlignment="1">
      <alignment horizontal="center"/>
    </xf>
    <xf numFmtId="0" fontId="0" fillId="0" borderId="0" xfId="0" pivotButton="1"/>
    <xf numFmtId="3" fontId="0" fillId="0" borderId="0" xfId="0" applyNumberFormat="1"/>
    <xf numFmtId="175" fontId="0" fillId="0" borderId="0" xfId="0" applyNumberFormat="1"/>
    <xf numFmtId="164" fontId="0" fillId="0" borderId="0" xfId="0" applyNumberFormat="1"/>
    <xf numFmtId="176" fontId="0" fillId="0" borderId="0" xfId="0" applyNumberFormat="1"/>
    <xf numFmtId="164" fontId="3" fillId="0" borderId="0" xfId="0" applyNumberFormat="1" applyFont="1"/>
    <xf numFmtId="10" fontId="3" fillId="0" borderId="0" xfId="0" applyNumberFormat="1" applyFont="1"/>
    <xf numFmtId="0" fontId="9" fillId="0" borderId="0" xfId="0" applyFont="1"/>
    <xf numFmtId="0" fontId="9" fillId="0" borderId="13" xfId="0" applyFont="1" applyBorder="1"/>
    <xf numFmtId="0" fontId="9" fillId="0" borderId="14" xfId="0" applyFont="1" applyBorder="1"/>
    <xf numFmtId="0" fontId="9" fillId="0" borderId="12" xfId="0" applyFont="1" applyBorder="1"/>
    <xf numFmtId="0" fontId="9" fillId="0" borderId="15" xfId="0" applyFont="1" applyBorder="1"/>
    <xf numFmtId="0" fontId="10" fillId="0" borderId="0" xfId="0" applyFont="1"/>
    <xf numFmtId="0" fontId="9" fillId="0" borderId="10" xfId="0" applyFont="1" applyBorder="1"/>
    <xf numFmtId="0" fontId="9" fillId="0" borderId="2" xfId="0" applyFont="1" applyBorder="1"/>
    <xf numFmtId="6" fontId="9" fillId="0" borderId="2" xfId="0" applyNumberFormat="1" applyFont="1" applyBorder="1" applyAlignment="1">
      <alignment horizontal="center"/>
    </xf>
    <xf numFmtId="4" fontId="9" fillId="0" borderId="2" xfId="0" applyNumberFormat="1" applyFont="1" applyBorder="1" applyAlignment="1">
      <alignment horizontal="center"/>
    </xf>
    <xf numFmtId="9" fontId="12" fillId="0" borderId="2" xfId="0" applyNumberFormat="1" applyFont="1" applyBorder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177" fontId="9" fillId="0" borderId="2" xfId="0" applyNumberFormat="1" applyFont="1" applyBorder="1" applyAlignment="1">
      <alignment horizontal="center"/>
    </xf>
    <xf numFmtId="3" fontId="9" fillId="0" borderId="2" xfId="0" applyNumberFormat="1" applyFont="1" applyBorder="1" applyAlignment="1">
      <alignment horizontal="center"/>
    </xf>
    <xf numFmtId="164" fontId="9" fillId="0" borderId="2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8" fontId="9" fillId="0" borderId="2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 vertical="center"/>
    </xf>
    <xf numFmtId="172" fontId="9" fillId="0" borderId="2" xfId="0" applyNumberFormat="1" applyFont="1" applyBorder="1" applyAlignment="1">
      <alignment horizontal="center"/>
    </xf>
    <xf numFmtId="164" fontId="9" fillId="0" borderId="2" xfId="2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4" fillId="0" borderId="2" xfId="0" applyFont="1" applyBorder="1"/>
    <xf numFmtId="0" fontId="9" fillId="0" borderId="0" xfId="0" applyFont="1" applyAlignment="1">
      <alignment wrapText="1"/>
    </xf>
    <xf numFmtId="0" fontId="9" fillId="0" borderId="16" xfId="0" applyFont="1" applyBorder="1"/>
    <xf numFmtId="0" fontId="9" fillId="0" borderId="17" xfId="0" applyFont="1" applyBorder="1"/>
    <xf numFmtId="0" fontId="9" fillId="0" borderId="17" xfId="0" applyFont="1" applyBorder="1" applyAlignment="1">
      <alignment wrapText="1"/>
    </xf>
    <xf numFmtId="0" fontId="9" fillId="0" borderId="11" xfId="0" applyFont="1" applyBorder="1"/>
    <xf numFmtId="0" fontId="14" fillId="0" borderId="0" xfId="0" applyFont="1"/>
    <xf numFmtId="10" fontId="9" fillId="0" borderId="2" xfId="2" applyNumberFormat="1" applyFont="1" applyBorder="1" applyAlignment="1">
      <alignment horizontal="center"/>
    </xf>
    <xf numFmtId="10" fontId="9" fillId="0" borderId="0" xfId="2" applyNumberFormat="1" applyFont="1" applyBorder="1" applyAlignment="1">
      <alignment horizontal="center"/>
    </xf>
    <xf numFmtId="10" fontId="14" fillId="0" borderId="2" xfId="2" applyNumberFormat="1" applyFont="1" applyFill="1" applyBorder="1" applyAlignment="1">
      <alignment horizontal="center"/>
    </xf>
    <xf numFmtId="0" fontId="9" fillId="6" borderId="2" xfId="0" applyFont="1" applyFill="1" applyBorder="1"/>
    <xf numFmtId="164" fontId="9" fillId="6" borderId="18" xfId="2" applyNumberFormat="1" applyFont="1" applyFill="1" applyBorder="1" applyAlignment="1">
      <alignment horizontal="center"/>
    </xf>
    <xf numFmtId="9" fontId="12" fillId="0" borderId="10" xfId="0" applyNumberFormat="1" applyFont="1" applyBorder="1" applyAlignment="1">
      <alignment vertical="center"/>
    </xf>
    <xf numFmtId="164" fontId="13" fillId="0" borderId="10" xfId="0" applyNumberFormat="1" applyFont="1" applyBorder="1" applyAlignment="1">
      <alignment vertical="center"/>
    </xf>
    <xf numFmtId="164" fontId="9" fillId="7" borderId="18" xfId="2" applyNumberFormat="1" applyFont="1" applyFill="1" applyBorder="1" applyAlignment="1">
      <alignment horizontal="center"/>
    </xf>
    <xf numFmtId="164" fontId="15" fillId="7" borderId="18" xfId="2" applyNumberFormat="1" applyFont="1" applyFill="1" applyBorder="1" applyAlignment="1">
      <alignment horizontal="center"/>
    </xf>
    <xf numFmtId="0" fontId="18" fillId="0" borderId="0" xfId="0" applyFont="1"/>
    <xf numFmtId="9" fontId="9" fillId="8" borderId="18" xfId="2" applyFont="1" applyFill="1" applyBorder="1" applyAlignment="1">
      <alignment horizontal="center"/>
    </xf>
    <xf numFmtId="164" fontId="9" fillId="8" borderId="18" xfId="2" applyNumberFormat="1" applyFont="1" applyFill="1" applyBorder="1" applyAlignment="1">
      <alignment horizontal="center"/>
    </xf>
    <xf numFmtId="9" fontId="9" fillId="7" borderId="18" xfId="2" applyFont="1" applyFill="1" applyBorder="1" applyAlignment="1">
      <alignment horizontal="center"/>
    </xf>
    <xf numFmtId="9" fontId="15" fillId="7" borderId="18" xfId="2" applyFont="1" applyFill="1" applyBorder="1" applyAlignment="1">
      <alignment horizontal="center"/>
    </xf>
    <xf numFmtId="164" fontId="16" fillId="9" borderId="18" xfId="2" applyNumberFormat="1" applyFont="1" applyFill="1" applyBorder="1" applyAlignment="1">
      <alignment horizontal="center"/>
    </xf>
    <xf numFmtId="9" fontId="9" fillId="9" borderId="18" xfId="2" applyFont="1" applyFill="1" applyBorder="1" applyAlignment="1">
      <alignment horizontal="center"/>
    </xf>
    <xf numFmtId="9" fontId="9" fillId="9" borderId="19" xfId="2" applyFont="1" applyFill="1" applyBorder="1" applyAlignment="1">
      <alignment horizontal="center"/>
    </xf>
    <xf numFmtId="164" fontId="16" fillId="9" borderId="19" xfId="2" applyNumberFormat="1" applyFont="1" applyFill="1" applyBorder="1" applyAlignment="1">
      <alignment horizontal="center"/>
    </xf>
    <xf numFmtId="172" fontId="14" fillId="6" borderId="2" xfId="0" applyNumberFormat="1" applyFont="1" applyFill="1" applyBorder="1" applyAlignment="1">
      <alignment horizontal="center"/>
    </xf>
    <xf numFmtId="10" fontId="14" fillId="6" borderId="2" xfId="0" applyNumberFormat="1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164" fontId="17" fillId="7" borderId="18" xfId="2" applyNumberFormat="1" applyFont="1" applyFill="1" applyBorder="1" applyAlignment="1">
      <alignment horizontal="center"/>
    </xf>
    <xf numFmtId="164" fontId="17" fillId="7" borderId="19" xfId="2" applyNumberFormat="1" applyFont="1" applyFill="1" applyBorder="1" applyAlignment="1">
      <alignment horizontal="center"/>
    </xf>
    <xf numFmtId="164" fontId="15" fillId="0" borderId="18" xfId="2" applyNumberFormat="1" applyFont="1" applyFill="1" applyBorder="1" applyAlignment="1">
      <alignment horizontal="center"/>
    </xf>
    <xf numFmtId="164" fontId="9" fillId="0" borderId="18" xfId="2" applyNumberFormat="1" applyFont="1" applyFill="1" applyBorder="1" applyAlignment="1">
      <alignment horizontal="center"/>
    </xf>
    <xf numFmtId="164" fontId="9" fillId="10" borderId="18" xfId="2" applyNumberFormat="1" applyFont="1" applyFill="1" applyBorder="1" applyAlignment="1">
      <alignment horizontal="center"/>
    </xf>
    <xf numFmtId="9" fontId="9" fillId="0" borderId="0" xfId="0" applyNumberFormat="1" applyFont="1" applyAlignment="1">
      <alignment horizontal="center"/>
    </xf>
    <xf numFmtId="9" fontId="9" fillId="6" borderId="0" xfId="0" applyNumberFormat="1" applyFont="1" applyFill="1" applyAlignment="1">
      <alignment horizontal="center"/>
    </xf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4" fontId="9" fillId="6" borderId="0" xfId="0" applyNumberFormat="1" applyFont="1" applyFill="1" applyAlignment="1">
      <alignment horizontal="center"/>
    </xf>
    <xf numFmtId="6" fontId="9" fillId="0" borderId="0" xfId="0" applyNumberFormat="1" applyFont="1" applyAlignment="1">
      <alignment horizontal="center"/>
    </xf>
    <xf numFmtId="177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0" fontId="9" fillId="0" borderId="0" xfId="0" applyNumberFormat="1" applyFont="1" applyAlignment="1">
      <alignment horizontal="center"/>
    </xf>
    <xf numFmtId="172" fontId="9" fillId="0" borderId="0" xfId="0" applyNumberFormat="1" applyFont="1" applyAlignment="1">
      <alignment horizontal="center"/>
    </xf>
    <xf numFmtId="164" fontId="9" fillId="0" borderId="0" xfId="2" applyNumberFormat="1" applyFont="1" applyBorder="1" applyAlignment="1">
      <alignment horizontal="center"/>
    </xf>
    <xf numFmtId="0" fontId="18" fillId="7" borderId="2" xfId="0" applyFont="1" applyFill="1" applyBorder="1"/>
    <xf numFmtId="172" fontId="18" fillId="7" borderId="2" xfId="0" applyNumberFormat="1" applyFont="1" applyFill="1" applyBorder="1" applyAlignment="1">
      <alignment horizontal="center"/>
    </xf>
    <xf numFmtId="9" fontId="9" fillId="6" borderId="2" xfId="0" applyNumberFormat="1" applyFont="1" applyFill="1" applyBorder="1" applyAlignment="1">
      <alignment horizontal="center"/>
    </xf>
    <xf numFmtId="4" fontId="14" fillId="6" borderId="2" xfId="0" applyNumberFormat="1" applyFont="1" applyFill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3" fontId="9" fillId="0" borderId="0" xfId="0" applyNumberFormat="1" applyFont="1" applyAlignment="1">
      <alignment horizontal="center"/>
    </xf>
    <xf numFmtId="4" fontId="9" fillId="0" borderId="26" xfId="0" applyNumberFormat="1" applyFont="1" applyBorder="1" applyAlignment="1">
      <alignment horizontal="center"/>
    </xf>
    <xf numFmtId="9" fontId="9" fillId="0" borderId="26" xfId="0" applyNumberFormat="1" applyFont="1" applyBorder="1" applyAlignment="1">
      <alignment horizontal="center"/>
    </xf>
    <xf numFmtId="0" fontId="20" fillId="0" borderId="0" xfId="0" applyFont="1"/>
    <xf numFmtId="4" fontId="9" fillId="0" borderId="0" xfId="0" applyNumberFormat="1" applyFont="1"/>
    <xf numFmtId="4" fontId="0" fillId="0" borderId="0" xfId="0" applyNumberFormat="1" applyAlignment="1">
      <alignment horizontal="center"/>
    </xf>
    <xf numFmtId="173" fontId="0" fillId="0" borderId="0" xfId="0" applyNumberFormat="1"/>
    <xf numFmtId="168" fontId="0" fillId="12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1" fontId="0" fillId="12" borderId="0" xfId="0" applyNumberFormat="1" applyFill="1" applyAlignment="1">
      <alignment horizontal="center"/>
    </xf>
    <xf numFmtId="10" fontId="0" fillId="13" borderId="0" xfId="0" applyNumberFormat="1" applyFill="1" applyAlignment="1">
      <alignment horizontal="center"/>
    </xf>
    <xf numFmtId="164" fontId="0" fillId="13" borderId="0" xfId="0" applyNumberFormat="1" applyFill="1" applyAlignment="1">
      <alignment horizontal="center"/>
    </xf>
    <xf numFmtId="15" fontId="0" fillId="13" borderId="0" xfId="0" applyNumberFormat="1" applyFill="1" applyAlignment="1">
      <alignment horizontal="center"/>
    </xf>
    <xf numFmtId="0" fontId="21" fillId="0" borderId="0" xfId="0" applyFont="1"/>
    <xf numFmtId="0" fontId="22" fillId="0" borderId="0" xfId="0" applyFont="1"/>
    <xf numFmtId="9" fontId="0" fillId="13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0" fontId="23" fillId="0" borderId="0" xfId="0" applyFont="1" applyAlignment="1">
      <alignment horizontal="center"/>
    </xf>
    <xf numFmtId="3" fontId="0" fillId="0" borderId="0" xfId="1" applyNumberFormat="1" applyFont="1" applyFill="1" applyAlignment="1">
      <alignment horizontal="center"/>
    </xf>
    <xf numFmtId="10" fontId="23" fillId="0" borderId="0" xfId="0" applyNumberFormat="1" applyFont="1" applyAlignment="1">
      <alignment horizontal="center"/>
    </xf>
    <xf numFmtId="164" fontId="23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center"/>
    </xf>
    <xf numFmtId="10" fontId="23" fillId="0" borderId="0" xfId="2" applyNumberFormat="1" applyFont="1" applyFill="1" applyAlignment="1">
      <alignment horizontal="center"/>
    </xf>
    <xf numFmtId="43" fontId="23" fillId="0" borderId="0" xfId="1" applyFont="1" applyFill="1" applyAlignment="1">
      <alignment horizontal="center"/>
    </xf>
    <xf numFmtId="43" fontId="23" fillId="0" borderId="0" xfId="0" applyNumberFormat="1" applyFont="1" applyAlignment="1">
      <alignment horizontal="center"/>
    </xf>
    <xf numFmtId="3" fontId="23" fillId="0" borderId="0" xfId="0" applyNumberFormat="1" applyFont="1" applyAlignment="1">
      <alignment horizontal="center"/>
    </xf>
    <xf numFmtId="166" fontId="23" fillId="0" borderId="0" xfId="1" applyNumberFormat="1" applyFont="1" applyFill="1" applyAlignment="1">
      <alignment horizontal="center"/>
    </xf>
    <xf numFmtId="15" fontId="23" fillId="0" borderId="0" xfId="0" applyNumberFormat="1" applyFont="1" applyAlignment="1">
      <alignment horizontal="center"/>
    </xf>
    <xf numFmtId="15" fontId="0" fillId="6" borderId="0" xfId="0" applyNumberFormat="1" applyFill="1" applyAlignment="1">
      <alignment horizontal="center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3" fontId="0" fillId="6" borderId="0" xfId="0" applyNumberFormat="1" applyFill="1" applyAlignment="1">
      <alignment horizontal="center"/>
    </xf>
    <xf numFmtId="4" fontId="0" fillId="6" borderId="0" xfId="0" applyNumberFormat="1" applyFill="1" applyAlignment="1">
      <alignment horizontal="center"/>
    </xf>
    <xf numFmtId="3" fontId="0" fillId="6" borderId="0" xfId="1" applyNumberFormat="1" applyFont="1" applyFill="1" applyAlignment="1">
      <alignment horizontal="center"/>
    </xf>
    <xf numFmtId="10" fontId="23" fillId="6" borderId="0" xfId="0" applyNumberFormat="1" applyFont="1" applyFill="1" applyAlignment="1">
      <alignment horizontal="center"/>
    </xf>
    <xf numFmtId="164" fontId="23" fillId="6" borderId="0" xfId="0" applyNumberFormat="1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" fontId="23" fillId="6" borderId="0" xfId="0" applyNumberFormat="1" applyFont="1" applyFill="1" applyAlignment="1">
      <alignment horizontal="center"/>
    </xf>
    <xf numFmtId="10" fontId="23" fillId="6" borderId="0" xfId="2" applyNumberFormat="1" applyFont="1" applyFill="1" applyAlignment="1">
      <alignment horizontal="center"/>
    </xf>
    <xf numFmtId="43" fontId="23" fillId="6" borderId="0" xfId="1" applyFont="1" applyFill="1" applyAlignment="1">
      <alignment horizontal="center"/>
    </xf>
    <xf numFmtId="43" fontId="23" fillId="6" borderId="0" xfId="0" applyNumberFormat="1" applyFont="1" applyFill="1" applyAlignment="1">
      <alignment horizontal="center"/>
    </xf>
    <xf numFmtId="3" fontId="23" fillId="6" borderId="0" xfId="0" applyNumberFormat="1" applyFont="1" applyFill="1" applyAlignment="1">
      <alignment horizontal="center"/>
    </xf>
    <xf numFmtId="166" fontId="23" fillId="6" borderId="0" xfId="1" applyNumberFormat="1" applyFont="1" applyFill="1" applyAlignment="1">
      <alignment horizontal="center"/>
    </xf>
    <xf numFmtId="15" fontId="23" fillId="6" borderId="0" xfId="0" applyNumberFormat="1" applyFont="1" applyFill="1" applyAlignment="1">
      <alignment horizontal="center"/>
    </xf>
    <xf numFmtId="15" fontId="23" fillId="0" borderId="0" xfId="2" applyNumberFormat="1" applyFont="1" applyFill="1" applyAlignment="1">
      <alignment horizontal="center"/>
    </xf>
    <xf numFmtId="15" fontId="23" fillId="6" borderId="0" xfId="2" applyNumberFormat="1" applyFont="1" applyFill="1" applyAlignment="1">
      <alignment horizontal="center"/>
    </xf>
    <xf numFmtId="164" fontId="23" fillId="0" borderId="0" xfId="2" applyNumberFormat="1" applyFont="1" applyFill="1" applyAlignment="1">
      <alignment horizontal="center"/>
    </xf>
    <xf numFmtId="164" fontId="23" fillId="6" borderId="0" xfId="2" applyNumberFormat="1" applyFont="1" applyFill="1" applyAlignment="1">
      <alignment horizontal="center"/>
    </xf>
    <xf numFmtId="9" fontId="9" fillId="11" borderId="0" xfId="0" applyNumberFormat="1" applyFont="1" applyFill="1" applyAlignment="1">
      <alignment horizontal="center"/>
    </xf>
    <xf numFmtId="3" fontId="9" fillId="0" borderId="23" xfId="0" applyNumberFormat="1" applyFont="1" applyBorder="1" applyAlignment="1">
      <alignment horizontal="center"/>
    </xf>
    <xf numFmtId="9" fontId="9" fillId="0" borderId="0" xfId="0" applyNumberFormat="1" applyFont="1"/>
    <xf numFmtId="3" fontId="9" fillId="6" borderId="23" xfId="0" applyNumberFormat="1" applyFont="1" applyFill="1" applyBorder="1" applyAlignment="1">
      <alignment horizontal="center"/>
    </xf>
    <xf numFmtId="3" fontId="9" fillId="0" borderId="25" xfId="0" applyNumberFormat="1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177" fontId="9" fillId="0" borderId="24" xfId="0" applyNumberFormat="1" applyFont="1" applyBorder="1" applyAlignment="1">
      <alignment horizontal="center"/>
    </xf>
    <xf numFmtId="177" fontId="9" fillId="0" borderId="27" xfId="0" applyNumberFormat="1" applyFont="1" applyBorder="1" applyAlignment="1">
      <alignment horizontal="center"/>
    </xf>
    <xf numFmtId="4" fontId="9" fillId="6" borderId="24" xfId="0" applyNumberFormat="1" applyFont="1" applyFill="1" applyBorder="1" applyAlignment="1">
      <alignment horizontal="center"/>
    </xf>
    <xf numFmtId="164" fontId="9" fillId="0" borderId="0" xfId="0" applyNumberFormat="1" applyFont="1"/>
    <xf numFmtId="10" fontId="15" fillId="0" borderId="18" xfId="2" applyNumberFormat="1" applyFont="1" applyFill="1" applyBorder="1" applyAlignment="1">
      <alignment horizontal="center"/>
    </xf>
    <xf numFmtId="10" fontId="9" fillId="0" borderId="28" xfId="2" applyNumberFormat="1" applyFont="1" applyBorder="1" applyAlignment="1">
      <alignment horizontal="center"/>
    </xf>
    <xf numFmtId="10" fontId="9" fillId="0" borderId="29" xfId="2" applyNumberFormat="1" applyFont="1" applyBorder="1" applyAlignment="1">
      <alignment horizontal="center"/>
    </xf>
    <xf numFmtId="10" fontId="9" fillId="0" borderId="30" xfId="2" applyNumberFormat="1" applyFont="1" applyBorder="1" applyAlignment="1">
      <alignment horizontal="center"/>
    </xf>
    <xf numFmtId="166" fontId="0" fillId="0" borderId="0" xfId="1" applyNumberFormat="1" applyFont="1" applyBorder="1" applyAlignment="1">
      <alignment vertical="center"/>
    </xf>
    <xf numFmtId="10" fontId="0" fillId="0" borderId="0" xfId="2" applyNumberFormat="1" applyFont="1" applyAlignment="1"/>
    <xf numFmtId="178" fontId="9" fillId="0" borderId="0" xfId="0" applyNumberFormat="1" applyFont="1"/>
    <xf numFmtId="0" fontId="0" fillId="0" borderId="8" xfId="0" applyBorder="1" applyAlignment="1">
      <alignment horizontal="center"/>
    </xf>
    <xf numFmtId="0" fontId="5" fillId="0" borderId="5" xfId="0" applyFont="1" applyBorder="1" applyAlignment="1">
      <alignment horizontal="center"/>
    </xf>
    <xf numFmtId="15" fontId="0" fillId="0" borderId="9" xfId="0" applyNumberFormat="1" applyBorder="1" applyAlignment="1">
      <alignment horizontal="center"/>
    </xf>
    <xf numFmtId="0" fontId="0" fillId="0" borderId="4" xfId="0" applyBorder="1"/>
    <xf numFmtId="0" fontId="0" fillId="0" borderId="8" xfId="0" applyBorder="1"/>
    <xf numFmtId="0" fontId="0" fillId="0" borderId="7" xfId="0" applyBorder="1"/>
    <xf numFmtId="6" fontId="0" fillId="0" borderId="7" xfId="0" applyNumberFormat="1" applyBorder="1" applyAlignment="1">
      <alignment horizontal="center"/>
    </xf>
    <xf numFmtId="6" fontId="0" fillId="0" borderId="8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6" fontId="0" fillId="2" borderId="4" xfId="0" applyNumberFormat="1" applyFill="1" applyBorder="1" applyAlignment="1">
      <alignment horizontal="center"/>
    </xf>
    <xf numFmtId="6" fontId="0" fillId="0" borderId="5" xfId="0" applyNumberFormat="1" applyBorder="1" applyAlignment="1">
      <alignment horizontal="center"/>
    </xf>
    <xf numFmtId="10" fontId="0" fillId="2" borderId="3" xfId="0" applyNumberFormat="1" applyFill="1" applyBorder="1" applyAlignment="1">
      <alignment horizontal="center"/>
    </xf>
    <xf numFmtId="15" fontId="2" fillId="2" borderId="3" xfId="0" applyNumberFormat="1" applyFont="1" applyFill="1" applyBorder="1" applyAlignment="1">
      <alignment horizontal="center"/>
    </xf>
    <xf numFmtId="10" fontId="0" fillId="2" borderId="3" xfId="2" applyNumberFormat="1" applyFont="1" applyFill="1" applyBorder="1" applyAlignment="1">
      <alignment horizontal="center"/>
    </xf>
    <xf numFmtId="172" fontId="0" fillId="0" borderId="3" xfId="0" applyNumberFormat="1" applyBorder="1" applyAlignment="1">
      <alignment horizontal="center"/>
    </xf>
    <xf numFmtId="6" fontId="0" fillId="0" borderId="3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0" fontId="0" fillId="0" borderId="3" xfId="2" applyNumberFormat="1" applyFon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3" fontId="0" fillId="5" borderId="8" xfId="2" applyNumberFormat="1" applyFont="1" applyFill="1" applyBorder="1" applyAlignment="1">
      <alignment horizontal="center"/>
    </xf>
    <xf numFmtId="6" fontId="0" fillId="0" borderId="9" xfId="0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0" fontId="2" fillId="0" borderId="5" xfId="0" applyFont="1" applyBorder="1" applyAlignment="1">
      <alignment horizontal="center"/>
    </xf>
    <xf numFmtId="14" fontId="0" fillId="0" borderId="6" xfId="0" applyNumberFormat="1" applyBorder="1"/>
    <xf numFmtId="9" fontId="0" fillId="0" borderId="3" xfId="0" applyNumberFormat="1" applyBorder="1" applyAlignment="1">
      <alignment horizontal="center"/>
    </xf>
    <xf numFmtId="176" fontId="0" fillId="0" borderId="3" xfId="0" applyNumberFormat="1" applyBorder="1"/>
    <xf numFmtId="10" fontId="0" fillId="0" borderId="5" xfId="0" applyNumberFormat="1" applyBorder="1" applyAlignment="1">
      <alignment horizontal="center"/>
    </xf>
    <xf numFmtId="0" fontId="2" fillId="0" borderId="2" xfId="0" applyFont="1" applyBorder="1"/>
    <xf numFmtId="1" fontId="2" fillId="0" borderId="2" xfId="0" applyNumberFormat="1" applyFont="1" applyBorder="1"/>
    <xf numFmtId="164" fontId="0" fillId="0" borderId="2" xfId="0" applyNumberForma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164" fontId="0" fillId="0" borderId="2" xfId="2" applyNumberFormat="1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4" fontId="2" fillId="0" borderId="22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0" fillId="0" borderId="2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5" fontId="0" fillId="3" borderId="0" xfId="0" applyNumberFormat="1" applyFill="1" applyAlignment="1">
      <alignment horizontal="center"/>
    </xf>
    <xf numFmtId="10" fontId="0" fillId="3" borderId="0" xfId="2" applyNumberFormat="1" applyFont="1" applyFill="1" applyAlignment="1">
      <alignment horizontal="center"/>
    </xf>
    <xf numFmtId="170" fontId="0" fillId="3" borderId="0" xfId="0" applyNumberFormat="1" applyFill="1" applyAlignment="1">
      <alignment horizontal="center"/>
    </xf>
    <xf numFmtId="10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9" fontId="0" fillId="3" borderId="0" xfId="0" applyNumberFormat="1" applyFill="1" applyAlignment="1">
      <alignment horizontal="center"/>
    </xf>
    <xf numFmtId="164" fontId="0" fillId="3" borderId="1" xfId="3" applyNumberFormat="1" applyFont="1" applyFill="1" applyAlignment="1">
      <alignment horizontal="center"/>
    </xf>
    <xf numFmtId="43" fontId="2" fillId="0" borderId="0" xfId="0" applyNumberFormat="1" applyFont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0" borderId="0" xfId="2" applyNumberFormat="1" applyFont="1" applyAlignment="1">
      <alignment horizontal="center"/>
    </xf>
    <xf numFmtId="164" fontId="0" fillId="0" borderId="0" xfId="2" applyNumberFormat="1" applyFont="1" applyAlignment="1">
      <alignment horizontal="center"/>
    </xf>
    <xf numFmtId="166" fontId="0" fillId="2" borderId="0" xfId="1" applyNumberFormat="1" applyFont="1" applyFill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1" applyNumberFormat="1" applyFont="1" applyFill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33" xfId="0" applyFont="1" applyBorder="1" applyAlignment="1">
      <alignment horizontal="center"/>
    </xf>
    <xf numFmtId="1" fontId="0" fillId="13" borderId="0" xfId="0" applyNumberFormat="1" applyFill="1" applyAlignment="1">
      <alignment horizontal="center"/>
    </xf>
    <xf numFmtId="3" fontId="23" fillId="0" borderId="0" xfId="0" applyNumberFormat="1" applyFont="1" applyAlignment="1">
      <alignment horizontal="left"/>
    </xf>
    <xf numFmtId="8" fontId="9" fillId="0" borderId="0" xfId="0" applyNumberFormat="1" applyFont="1"/>
    <xf numFmtId="0" fontId="9" fillId="15" borderId="2" xfId="0" applyFont="1" applyFill="1" applyBorder="1"/>
    <xf numFmtId="0" fontId="4" fillId="0" borderId="3" xfId="0" applyFont="1" applyBorder="1" applyAlignment="1">
      <alignment horizontal="center" vertical="center"/>
    </xf>
    <xf numFmtId="0" fontId="2" fillId="15" borderId="0" xfId="0" applyFont="1" applyFill="1" applyAlignment="1">
      <alignment horizontal="center"/>
    </xf>
    <xf numFmtId="173" fontId="25" fillId="15" borderId="3" xfId="0" applyNumberFormat="1" applyFont="1" applyFill="1" applyBorder="1" applyAlignment="1">
      <alignment horizontal="center"/>
    </xf>
    <xf numFmtId="174" fontId="25" fillId="15" borderId="3" xfId="2" applyNumberFormat="1" applyFont="1" applyFill="1" applyBorder="1" applyAlignment="1">
      <alignment horizontal="center"/>
    </xf>
    <xf numFmtId="10" fontId="25" fillId="15" borderId="3" xfId="0" applyNumberFormat="1" applyFont="1" applyFill="1" applyBorder="1" applyAlignment="1">
      <alignment horizontal="center"/>
    </xf>
    <xf numFmtId="1" fontId="25" fillId="15" borderId="25" xfId="0" applyNumberFormat="1" applyFont="1" applyFill="1" applyBorder="1" applyAlignment="1">
      <alignment horizontal="center"/>
    </xf>
    <xf numFmtId="173" fontId="25" fillId="15" borderId="21" xfId="0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9" fontId="26" fillId="15" borderId="35" xfId="0" applyNumberFormat="1" applyFont="1" applyFill="1" applyBorder="1" applyAlignment="1">
      <alignment horizontal="center"/>
    </xf>
    <xf numFmtId="10" fontId="26" fillId="15" borderId="7" xfId="0" applyNumberFormat="1" applyFont="1" applyFill="1" applyBorder="1" applyAlignment="1">
      <alignment horizontal="center"/>
    </xf>
    <xf numFmtId="10" fontId="2" fillId="15" borderId="7" xfId="0" applyNumberFormat="1" applyFont="1" applyFill="1" applyBorder="1" applyAlignment="1">
      <alignment horizontal="center"/>
    </xf>
    <xf numFmtId="9" fontId="26" fillId="15" borderId="7" xfId="0" applyNumberFormat="1" applyFont="1" applyFill="1" applyBorder="1" applyAlignment="1">
      <alignment horizontal="center"/>
    </xf>
    <xf numFmtId="9" fontId="2" fillId="15" borderId="7" xfId="0" applyNumberFormat="1" applyFont="1" applyFill="1" applyBorder="1" applyAlignment="1">
      <alignment horizontal="center"/>
    </xf>
    <xf numFmtId="0" fontId="26" fillId="15" borderId="7" xfId="0" applyFont="1" applyFill="1" applyBorder="1" applyAlignment="1">
      <alignment horizontal="center"/>
    </xf>
    <xf numFmtId="10" fontId="26" fillId="15" borderId="7" xfId="2" applyNumberFormat="1" applyFont="1" applyFill="1" applyBorder="1" applyAlignment="1">
      <alignment horizontal="center"/>
    </xf>
    <xf numFmtId="10" fontId="2" fillId="15" borderId="8" xfId="2" applyNumberFormat="1" applyFont="1" applyFill="1" applyBorder="1" applyAlignment="1">
      <alignment horizontal="center"/>
    </xf>
    <xf numFmtId="15" fontId="25" fillId="15" borderId="37" xfId="0" applyNumberFormat="1" applyFont="1" applyFill="1" applyBorder="1" applyAlignment="1">
      <alignment horizontal="center"/>
    </xf>
    <xf numFmtId="15" fontId="25" fillId="15" borderId="4" xfId="0" applyNumberFormat="1" applyFont="1" applyFill="1" applyBorder="1" applyAlignment="1">
      <alignment horizontal="center"/>
    </xf>
    <xf numFmtId="15" fontId="25" fillId="15" borderId="5" xfId="0" applyNumberFormat="1" applyFont="1" applyFill="1" applyBorder="1" applyAlignment="1">
      <alignment horizontal="center"/>
    </xf>
    <xf numFmtId="0" fontId="0" fillId="0" borderId="34" xfId="0" applyBorder="1" applyAlignment="1">
      <alignment horizontal="left"/>
    </xf>
    <xf numFmtId="8" fontId="25" fillId="15" borderId="35" xfId="0" applyNumberFormat="1" applyFont="1" applyFill="1" applyBorder="1" applyAlignment="1">
      <alignment horizontal="center"/>
    </xf>
    <xf numFmtId="15" fontId="0" fillId="15" borderId="7" xfId="0" applyNumberFormat="1" applyFill="1" applyBorder="1" applyAlignment="1">
      <alignment horizontal="center"/>
    </xf>
    <xf numFmtId="3" fontId="0" fillId="15" borderId="7" xfId="0" applyNumberFormat="1" applyFill="1" applyBorder="1" applyAlignment="1">
      <alignment horizontal="center"/>
    </xf>
    <xf numFmtId="164" fontId="0" fillId="15" borderId="7" xfId="2" applyNumberFormat="1" applyFont="1" applyFill="1" applyBorder="1" applyAlignment="1">
      <alignment horizontal="center"/>
    </xf>
    <xf numFmtId="10" fontId="0" fillId="15" borderId="7" xfId="2" applyNumberFormat="1" applyFont="1" applyFill="1" applyBorder="1" applyAlignment="1">
      <alignment horizontal="center"/>
    </xf>
    <xf numFmtId="8" fontId="0" fillId="15" borderId="7" xfId="0" applyNumberFormat="1" applyFill="1" applyBorder="1" applyAlignment="1">
      <alignment horizontal="center"/>
    </xf>
    <xf numFmtId="10" fontId="26" fillId="15" borderId="8" xfId="2" applyNumberFormat="1" applyFont="1" applyFill="1" applyBorder="1" applyAlignment="1">
      <alignment horizontal="center"/>
    </xf>
    <xf numFmtId="8" fontId="6" fillId="15" borderId="8" xfId="0" applyNumberFormat="1" applyFont="1" applyFill="1" applyBorder="1" applyAlignment="1">
      <alignment horizontal="center"/>
    </xf>
    <xf numFmtId="4" fontId="2" fillId="2" borderId="0" xfId="0" applyNumberFormat="1" applyFont="1" applyFill="1"/>
    <xf numFmtId="14" fontId="0" fillId="0" borderId="0" xfId="2" applyNumberFormat="1" applyFont="1"/>
    <xf numFmtId="2" fontId="0" fillId="0" borderId="0" xfId="2" applyNumberFormat="1" applyFont="1"/>
    <xf numFmtId="179" fontId="0" fillId="0" borderId="0" xfId="0" applyNumberFormat="1"/>
    <xf numFmtId="10" fontId="25" fillId="15" borderId="2" xfId="2" applyNumberFormat="1" applyFont="1" applyFill="1" applyBorder="1" applyAlignment="1">
      <alignment horizontal="center"/>
    </xf>
    <xf numFmtId="10" fontId="26" fillId="0" borderId="35" xfId="2" applyNumberFormat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10" fontId="25" fillId="2" borderId="3" xfId="0" applyNumberFormat="1" applyFont="1" applyFill="1" applyBorder="1" applyAlignment="1">
      <alignment horizontal="center"/>
    </xf>
    <xf numFmtId="4" fontId="25" fillId="15" borderId="0" xfId="0" applyNumberFormat="1" applyFont="1" applyFill="1" applyAlignment="1">
      <alignment horizontal="center"/>
    </xf>
    <xf numFmtId="10" fontId="26" fillId="0" borderId="7" xfId="0" applyNumberFormat="1" applyFont="1" applyBorder="1" applyAlignment="1">
      <alignment horizontal="center"/>
    </xf>
    <xf numFmtId="10" fontId="2" fillId="0" borderId="7" xfId="0" applyNumberFormat="1" applyFont="1" applyBorder="1" applyAlignment="1">
      <alignment horizontal="center"/>
    </xf>
    <xf numFmtId="4" fontId="27" fillId="0" borderId="0" xfId="0" applyNumberFormat="1" applyFont="1"/>
    <xf numFmtId="8" fontId="3" fillId="0" borderId="0" xfId="0" applyNumberFormat="1" applyFont="1"/>
    <xf numFmtId="164" fontId="18" fillId="6" borderId="18" xfId="2" applyNumberFormat="1" applyFont="1" applyFill="1" applyBorder="1" applyAlignment="1">
      <alignment horizontal="center"/>
    </xf>
    <xf numFmtId="164" fontId="14" fillId="6" borderId="18" xfId="2" applyNumberFormat="1" applyFont="1" applyFill="1" applyBorder="1" applyAlignment="1">
      <alignment horizontal="center"/>
    </xf>
    <xf numFmtId="10" fontId="0" fillId="2" borderId="0" xfId="0" applyNumberFormat="1" applyFill="1" applyAlignment="1">
      <alignment horizontal="center"/>
    </xf>
    <xf numFmtId="9" fontId="0" fillId="2" borderId="0" xfId="0" applyNumberFormat="1" applyFill="1" applyAlignment="1">
      <alignment horizontal="center"/>
    </xf>
    <xf numFmtId="10" fontId="0" fillId="2" borderId="0" xfId="0" applyNumberFormat="1" applyFill="1"/>
    <xf numFmtId="0" fontId="0" fillId="2" borderId="0" xfId="0" applyFill="1"/>
    <xf numFmtId="0" fontId="4" fillId="0" borderId="34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te" xfId="3" builtinId="10"/>
    <cellStyle name="Percent" xfId="2" builtinId="5"/>
  </cellStyles>
  <dxfs count="3">
    <dxf>
      <numFmt numFmtId="166" formatCode="_ * #,##0_ ;_ * \-#,##0_ ;_ * &quot;-&quot;??_ ;_ @_ "/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CCEC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123825</xdr:rowOff>
        </xdr:from>
        <xdr:to>
          <xdr:col>2</xdr:col>
          <xdr:colOff>342900</xdr:colOff>
          <xdr:row>2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MTM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6</xdr:row>
          <xdr:rowOff>19050</xdr:rowOff>
        </xdr:from>
        <xdr:to>
          <xdr:col>5</xdr:col>
          <xdr:colOff>38100</xdr:colOff>
          <xdr:row>7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duct%20Design%20Framework\August%20Iterations\Hedging%20Sheet%20-%20Nifty%20Magnifier%20-%20Day1%20Hedg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New%20Prod%20Launch\Hedging%20Sheet%20-%205%20yr%20Sub%20Debt%20-%201.4x%20Lever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 Details"/>
      <sheetName val="Product Description"/>
      <sheetName val="MTM &amp; Margin req"/>
      <sheetName val="Day1 Vega Hedge"/>
      <sheetName val="Summary Sheet"/>
      <sheetName val="Pricer"/>
      <sheetName val="Trade Positions"/>
      <sheetName val="Pivot of Positions"/>
      <sheetName val="MarketData"/>
      <sheetName val="Pricing Param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D2">
            <v>500</v>
          </cell>
          <cell r="E2">
            <v>6102.5157584765002</v>
          </cell>
          <cell r="F2">
            <v>6657.2899183379996</v>
          </cell>
          <cell r="G2">
            <v>7212.0640781994998</v>
          </cell>
          <cell r="H2">
            <v>7766.8382380609992</v>
          </cell>
          <cell r="I2">
            <v>8321.6123979224994</v>
          </cell>
          <cell r="J2">
            <v>8876.3865577840006</v>
          </cell>
          <cell r="K2">
            <v>9431.1607176455</v>
          </cell>
          <cell r="L2">
            <v>9985.9348775069993</v>
          </cell>
          <cell r="M2">
            <v>10540.709037368499</v>
          </cell>
          <cell r="N2">
            <v>11095.48319723</v>
          </cell>
          <cell r="O2">
            <v>11650.257357091501</v>
          </cell>
          <cell r="P2">
            <v>12205.031516953</v>
          </cell>
          <cell r="Q2">
            <v>12759.8056768145</v>
          </cell>
          <cell r="R2">
            <v>13314.579836675999</v>
          </cell>
          <cell r="S2">
            <v>13869.3539965375</v>
          </cell>
          <cell r="T2">
            <v>14424.128156399</v>
          </cell>
          <cell r="U2">
            <v>14978.902316260501</v>
          </cell>
          <cell r="V2">
            <v>15533.676476121998</v>
          </cell>
          <cell r="W2">
            <v>16088.4506359835</v>
          </cell>
          <cell r="X2">
            <v>35000</v>
          </cell>
        </row>
        <row r="3">
          <cell r="C3">
            <v>44070</v>
          </cell>
        </row>
        <row r="4">
          <cell r="C4">
            <v>44098</v>
          </cell>
        </row>
        <row r="5">
          <cell r="C5">
            <v>44133</v>
          </cell>
        </row>
        <row r="6">
          <cell r="C6">
            <v>44196</v>
          </cell>
        </row>
        <row r="7">
          <cell r="C7">
            <v>44280</v>
          </cell>
        </row>
        <row r="8">
          <cell r="C8">
            <v>44371</v>
          </cell>
        </row>
        <row r="9">
          <cell r="C9">
            <v>44560</v>
          </cell>
        </row>
        <row r="10">
          <cell r="C10">
            <v>44742</v>
          </cell>
        </row>
        <row r="11">
          <cell r="C11">
            <v>44924</v>
          </cell>
        </row>
        <row r="12">
          <cell r="C12">
            <v>45105</v>
          </cell>
        </row>
        <row r="13">
          <cell r="C13">
            <v>45288</v>
          </cell>
        </row>
        <row r="14">
          <cell r="C14">
            <v>46020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Sheet"/>
      <sheetName val="Pricer"/>
      <sheetName val="Product Description"/>
      <sheetName val="Trade Positions"/>
      <sheetName val="Pivot of Positions"/>
      <sheetName val="MarketData"/>
      <sheetName val="Pricing Params"/>
    </sheetNames>
    <sheetDataSet>
      <sheetData sheetId="0">
        <row r="10">
          <cell r="C10">
            <v>0.1</v>
          </cell>
        </row>
      </sheetData>
      <sheetData sheetId="1">
        <row r="2">
          <cell r="B2">
            <v>9299</v>
          </cell>
        </row>
      </sheetData>
      <sheetData sheetId="2"/>
      <sheetData sheetId="3"/>
      <sheetData sheetId="4"/>
      <sheetData sheetId="5">
        <row r="2">
          <cell r="D2">
            <v>500</v>
          </cell>
          <cell r="E2">
            <v>6123.0841739044999</v>
          </cell>
          <cell r="F2">
            <v>6679.7281897139992</v>
          </cell>
          <cell r="G2">
            <v>7236.3722055235003</v>
          </cell>
          <cell r="H2">
            <v>7793.0162213329995</v>
          </cell>
          <cell r="I2">
            <v>8349.6602371424997</v>
          </cell>
          <cell r="J2">
            <v>8906.3042529520008</v>
          </cell>
          <cell r="K2">
            <v>9462.9482687615</v>
          </cell>
          <cell r="L2">
            <v>10019.592284570999</v>
          </cell>
          <cell r="M2">
            <v>10576.236300380499</v>
          </cell>
          <cell r="N2">
            <v>11132.88031619</v>
          </cell>
          <cell r="O2">
            <v>11689.524331999501</v>
          </cell>
          <cell r="P2">
            <v>12246.168347809</v>
          </cell>
          <cell r="Q2">
            <v>12802.812363618499</v>
          </cell>
          <cell r="R2">
            <v>13359.456379427998</v>
          </cell>
          <cell r="S2">
            <v>13916.100395237499</v>
          </cell>
          <cell r="T2">
            <v>14472.744411047001</v>
          </cell>
          <cell r="U2">
            <v>15029.3884268565</v>
          </cell>
          <cell r="V2">
            <v>15586.032442665999</v>
          </cell>
          <cell r="W2">
            <v>16142.676458475498</v>
          </cell>
          <cell r="X2">
            <v>35000</v>
          </cell>
        </row>
        <row r="3">
          <cell r="C3">
            <v>43916</v>
          </cell>
        </row>
        <row r="4">
          <cell r="C4">
            <v>43951</v>
          </cell>
        </row>
        <row r="5">
          <cell r="C5">
            <v>43979</v>
          </cell>
        </row>
        <row r="6">
          <cell r="C6">
            <v>44007</v>
          </cell>
        </row>
        <row r="7">
          <cell r="C7">
            <v>44098</v>
          </cell>
        </row>
        <row r="8">
          <cell r="C8">
            <v>44196</v>
          </cell>
        </row>
        <row r="9">
          <cell r="C9">
            <v>44371</v>
          </cell>
        </row>
        <row r="10">
          <cell r="C10">
            <v>44560</v>
          </cell>
        </row>
        <row r="11">
          <cell r="C11">
            <v>44742</v>
          </cell>
        </row>
        <row r="12">
          <cell r="C12">
            <v>44924</v>
          </cell>
        </row>
        <row r="13">
          <cell r="C13">
            <v>45288</v>
          </cell>
        </row>
        <row r="14">
          <cell r="C14">
            <v>46020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</sheetData>
      <sheetData sheetId="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nayrathi\Downloads\Hedging%20Sheet%205y%20Accelerator%20-%20Simplified%20HS%20-%20Jan24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inmay Pradhan" refreshedDate="43809.687186226853" createdVersion="5" refreshedVersion="5" minRefreshableVersion="3" recordCount="42" xr:uid="{00000000-000A-0000-FFFF-FFFF00000000}">
  <cacheSource type="worksheet">
    <worksheetSource ref="E4:K40" sheet="Trade Positions" r:id="rId2"/>
  </cacheSource>
  <cacheFields count="7">
    <cacheField name="Product" numFmtId="0">
      <sharedItems containsBlank="1"/>
    </cacheField>
    <cacheField name="Mobilisation" numFmtId="166">
      <sharedItems containsString="0" containsBlank="1" containsNumber="1" containsInteger="1" minValue="92875000" maxValue="150625000"/>
    </cacheField>
    <cacheField name="Option" numFmtId="0">
      <sharedItems count="1">
        <s v="P"/>
      </sharedItems>
    </cacheField>
    <cacheField name="Maturity" numFmtId="15">
      <sharedItems containsSemiMixedTypes="0" containsNonDate="0" containsDate="1" containsString="0" minDate="2022-10-27T00:00:00" maxDate="2023-04-28T00:00:00" count="6">
        <d v="2022-10-27T00:00:00"/>
        <d v="2022-11-24T00:00:00"/>
        <d v="2022-12-29T00:00:00"/>
        <d v="2023-02-23T00:00:00"/>
        <d v="2023-03-30T00:00:00"/>
        <d v="2023-04-27T00:00:00"/>
      </sharedItems>
    </cacheField>
    <cacheField name="Strike" numFmtId="1">
      <sharedItems containsSemiMixedTypes="0" containsString="0" containsNumber="1" containsInteger="1" minValue="3429" maxValue="14400" count="11">
        <n v="12720"/>
        <n v="5779"/>
        <n v="14400"/>
        <n v="14040"/>
        <n v="12480"/>
        <n v="8400"/>
        <n v="8160"/>
        <n v="3429"/>
        <n v="13200"/>
        <n v="12900"/>
        <n v="12000"/>
      </sharedItems>
    </cacheField>
    <cacheField name="Contracts" numFmtId="2">
      <sharedItems containsSemiMixedTypes="0" containsString="0" containsNumber="1" minValue="-93722.222222222234" maxValue="87864.583333333328"/>
    </cacheField>
    <cacheField name="Price" numFmtId="2">
      <sharedItems containsSemiMixedTypes="0" containsString="0" containsNumber="1" minValue="0.8796619634447832" maxValue="1618.898885024307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s v="Protected Call"/>
    <n v="92875000"/>
    <x v="0"/>
    <x v="0"/>
    <x v="0"/>
    <n v="-6578.6458333333321"/>
    <n v="939.90330355429023"/>
  </r>
  <r>
    <m/>
    <m/>
    <x v="0"/>
    <x v="1"/>
    <x v="0"/>
    <n v="-6578.6458333333321"/>
    <n v="937.97056962809222"/>
  </r>
  <r>
    <m/>
    <m/>
    <x v="0"/>
    <x v="2"/>
    <x v="0"/>
    <n v="-6578.6458333333321"/>
    <n v="941.0495307734592"/>
  </r>
  <r>
    <m/>
    <m/>
    <x v="0"/>
    <x v="0"/>
    <x v="1"/>
    <n v="6578.6458333333321"/>
    <n v="24.219702478419475"/>
  </r>
  <r>
    <m/>
    <m/>
    <x v="0"/>
    <x v="1"/>
    <x v="1"/>
    <n v="6578.6458333333321"/>
    <n v="25.692622882181567"/>
  </r>
  <r>
    <m/>
    <m/>
    <x v="0"/>
    <x v="2"/>
    <x v="1"/>
    <n v="6578.6458333333321"/>
    <n v="30.753526079110454"/>
  </r>
  <r>
    <s v="Nifty Accelerator"/>
    <n v="125100000"/>
    <x v="0"/>
    <x v="3"/>
    <x v="2"/>
    <n v="-64287.499999999993"/>
    <n v="1618.898885024307"/>
  </r>
  <r>
    <m/>
    <m/>
    <x v="0"/>
    <x v="4"/>
    <x v="2"/>
    <n v="-64287.499999999993"/>
    <n v="1604.3941848627787"/>
  </r>
  <r>
    <m/>
    <m/>
    <x v="0"/>
    <x v="5"/>
    <x v="2"/>
    <n v="-64287.499999999993"/>
    <n v="1592.9369467547447"/>
  </r>
  <r>
    <m/>
    <m/>
    <x v="0"/>
    <x v="3"/>
    <x v="3"/>
    <n v="59074.999999999993"/>
    <n v="1449.4603306561837"/>
  </r>
  <r>
    <m/>
    <m/>
    <x v="0"/>
    <x v="4"/>
    <x v="3"/>
    <n v="59074.999999999993"/>
    <n v="1437.6766299302024"/>
  </r>
  <r>
    <m/>
    <m/>
    <x v="0"/>
    <x v="5"/>
    <x v="3"/>
    <n v="59074.999999999993"/>
    <n v="1428.3407919027454"/>
  </r>
  <r>
    <m/>
    <m/>
    <x v="0"/>
    <x v="3"/>
    <x v="4"/>
    <n v="5212.5"/>
    <n v="862.3472000125206"/>
  </r>
  <r>
    <m/>
    <m/>
    <x v="0"/>
    <x v="4"/>
    <x v="4"/>
    <n v="5212.5"/>
    <n v="860.09668772376142"/>
  </r>
  <r>
    <m/>
    <m/>
    <x v="0"/>
    <x v="5"/>
    <x v="4"/>
    <n v="5212.5"/>
    <n v="858.19685372775814"/>
  </r>
  <r>
    <m/>
    <m/>
    <x v="0"/>
    <x v="3"/>
    <x v="5"/>
    <n v="-77840"/>
    <n v="177.33695380235812"/>
  </r>
  <r>
    <m/>
    <m/>
    <x v="0"/>
    <x v="4"/>
    <x v="5"/>
    <n v="-77840"/>
    <n v="181.87801032992712"/>
  </r>
  <r>
    <m/>
    <m/>
    <x v="0"/>
    <x v="5"/>
    <x v="5"/>
    <n v="-77840"/>
    <n v="185.4076654451984"/>
  </r>
  <r>
    <m/>
    <m/>
    <x v="0"/>
    <x v="3"/>
    <x v="6"/>
    <n v="72975"/>
    <n v="160.18851337207548"/>
  </r>
  <r>
    <m/>
    <m/>
    <x v="0"/>
    <x v="4"/>
    <x v="6"/>
    <n v="72975"/>
    <n v="164.65144892987834"/>
  </r>
  <r>
    <m/>
    <m/>
    <x v="0"/>
    <x v="5"/>
    <x v="6"/>
    <n v="72975"/>
    <n v="168.12918371164352"/>
  </r>
  <r>
    <m/>
    <m/>
    <x v="0"/>
    <x v="3"/>
    <x v="7"/>
    <n v="4865"/>
    <n v="0.8796619634447832"/>
  </r>
  <r>
    <m/>
    <m/>
    <x v="0"/>
    <x v="4"/>
    <x v="7"/>
    <n v="4865"/>
    <n v="1.0027813588724741"/>
  </r>
  <r>
    <m/>
    <m/>
    <x v="0"/>
    <x v="5"/>
    <x v="7"/>
    <n v="4865"/>
    <n v="1.1079393915989186"/>
  </r>
  <r>
    <s v="Nifty Magnifier"/>
    <n v="150625000"/>
    <x v="0"/>
    <x v="3"/>
    <x v="8"/>
    <n v="-87864.583333333314"/>
    <n v="1101.9350235855622"/>
  </r>
  <r>
    <m/>
    <m/>
    <x v="0"/>
    <x v="4"/>
    <x v="8"/>
    <n v="-87864.583333333314"/>
    <n v="1095.8325147351413"/>
  </r>
  <r>
    <m/>
    <m/>
    <x v="0"/>
    <x v="5"/>
    <x v="8"/>
    <n v="-87864.583333333314"/>
    <n v="1090.9274426300237"/>
  </r>
  <r>
    <m/>
    <m/>
    <x v="0"/>
    <x v="3"/>
    <x v="9"/>
    <n v="83680.555555555547"/>
    <n v="996.09222946160037"/>
  </r>
  <r>
    <m/>
    <m/>
    <x v="0"/>
    <x v="4"/>
    <x v="9"/>
    <n v="83680.555555555547"/>
    <n v="991.70043031004263"/>
  </r>
  <r>
    <m/>
    <m/>
    <x v="0"/>
    <x v="5"/>
    <x v="9"/>
    <n v="83680.555555555547"/>
    <n v="988.12885362190468"/>
  </r>
  <r>
    <m/>
    <m/>
    <x v="0"/>
    <x v="3"/>
    <x v="10"/>
    <n v="4184.0277777777783"/>
    <n v="730.24338044455305"/>
  </r>
  <r>
    <m/>
    <m/>
    <x v="0"/>
    <x v="4"/>
    <x v="10"/>
    <n v="4184.0277777777783"/>
    <n v="730.07620772242262"/>
  </r>
  <r>
    <m/>
    <m/>
    <x v="0"/>
    <x v="5"/>
    <x v="10"/>
    <n v="4184.0277777777783"/>
    <n v="729.8072483357081"/>
  </r>
  <r>
    <m/>
    <m/>
    <x v="0"/>
    <x v="3"/>
    <x v="5"/>
    <n v="-93722.222222222234"/>
    <n v="177.33695380235812"/>
  </r>
  <r>
    <m/>
    <m/>
    <x v="0"/>
    <x v="4"/>
    <x v="5"/>
    <n v="-93722.222222222234"/>
    <n v="181.87801032992712"/>
  </r>
  <r>
    <m/>
    <m/>
    <x v="0"/>
    <x v="5"/>
    <x v="5"/>
    <n v="-93722.222222222234"/>
    <n v="185.4076654451984"/>
  </r>
  <r>
    <m/>
    <m/>
    <x v="0"/>
    <x v="3"/>
    <x v="6"/>
    <n v="87864.583333333328"/>
    <n v="160.18851337207548"/>
  </r>
  <r>
    <m/>
    <m/>
    <x v="0"/>
    <x v="4"/>
    <x v="6"/>
    <n v="87864.583333333328"/>
    <n v="164.65144892987834"/>
  </r>
  <r>
    <m/>
    <m/>
    <x v="0"/>
    <x v="5"/>
    <x v="6"/>
    <n v="87864.583333333328"/>
    <n v="168.12918371164352"/>
  </r>
  <r>
    <m/>
    <m/>
    <x v="0"/>
    <x v="3"/>
    <x v="7"/>
    <n v="5857.6388888888896"/>
    <n v="0.8796619634447832"/>
  </r>
  <r>
    <m/>
    <m/>
    <x v="0"/>
    <x v="4"/>
    <x v="7"/>
    <n v="5857.6388888888896"/>
    <n v="1.0027813588724741"/>
  </r>
  <r>
    <m/>
    <m/>
    <x v="0"/>
    <x v="5"/>
    <x v="7"/>
    <n v="5857.6388888888896"/>
    <n v="1.10793939159891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A3:E37" firstHeaderRow="1" firstDataRow="2" firstDataCol="3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5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x="3"/>
        <item x="0"/>
        <item x="1"/>
        <item x="2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3"/>
    <field x="4"/>
  </rowFields>
  <rowItems count="33">
    <i>
      <x/>
      <x/>
      <x v="1"/>
    </i>
    <i r="2">
      <x v="2"/>
    </i>
    <i r="1">
      <x v="1"/>
      <x v="1"/>
    </i>
    <i r="2">
      <x v="2"/>
    </i>
    <i r="1">
      <x v="2"/>
      <x v="1"/>
    </i>
    <i r="2">
      <x v="2"/>
    </i>
    <i r="1">
      <x v="3"/>
      <x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4"/>
      <x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1">
      <x v="5"/>
      <x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</rowItems>
  <colFields count="1">
    <field x="-2"/>
  </colFields>
  <colItems count="2">
    <i>
      <x/>
    </i>
    <i i="1">
      <x v="1"/>
    </i>
  </colItems>
  <dataFields count="2">
    <dataField name="Sum of Contracts" fld="5" baseField="0" baseItem="0" numFmtId="166"/>
    <dataField name="Average of Price" fld="6" subtotal="average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B1:T22"/>
  <sheetViews>
    <sheetView showGridLines="0" topLeftCell="A3" workbookViewId="0">
      <selection activeCell="D13" sqref="D13"/>
    </sheetView>
  </sheetViews>
  <sheetFormatPr defaultColWidth="8.73046875" defaultRowHeight="13.15"/>
  <cols>
    <col min="1" max="2" width="2.86328125" style="50" customWidth="1"/>
    <col min="3" max="9" width="12.59765625" style="50" customWidth="1"/>
    <col min="10" max="10" width="16.1328125" style="50" bestFit="1" customWidth="1"/>
    <col min="11" max="11" width="12.59765625" style="50" customWidth="1"/>
    <col min="12" max="12" width="2.86328125" style="50" customWidth="1"/>
    <col min="13" max="13" width="8.73046875" style="50"/>
    <col min="14" max="15" width="0" style="50" hidden="1" customWidth="1"/>
    <col min="16" max="16" width="12.3984375" style="50" hidden="1" customWidth="1"/>
    <col min="17" max="17" width="0" style="50" hidden="1" customWidth="1"/>
    <col min="18" max="18" width="11.3984375" style="50" hidden="1" customWidth="1"/>
    <col min="19" max="16384" width="8.73046875" style="50"/>
  </cols>
  <sheetData>
    <row r="1" spans="2:20">
      <c r="N1" s="50">
        <v>0</v>
      </c>
    </row>
    <row r="2" spans="2:20">
      <c r="G2" s="106" t="s">
        <v>172</v>
      </c>
      <c r="H2" s="173">
        <v>0.2</v>
      </c>
    </row>
    <row r="3" spans="2:20" ht="13.5" thickBot="1"/>
    <row r="4" spans="2:20">
      <c r="B4" s="51"/>
      <c r="C4" s="52"/>
      <c r="D4" s="52"/>
      <c r="E4" s="52"/>
      <c r="F4" s="52"/>
      <c r="G4" s="52"/>
      <c r="H4" s="178" t="s">
        <v>178</v>
      </c>
      <c r="I4" s="178" t="s">
        <v>47</v>
      </c>
      <c r="J4" s="178" t="s">
        <v>100</v>
      </c>
      <c r="K4" s="178" t="s">
        <v>179</v>
      </c>
      <c r="L4" s="53"/>
    </row>
    <row r="5" spans="2:20">
      <c r="B5" s="54"/>
      <c r="C5" s="119" t="s">
        <v>199</v>
      </c>
      <c r="D5" s="120" t="s">
        <v>133</v>
      </c>
      <c r="E5" s="120" t="s">
        <v>173</v>
      </c>
      <c r="F5" s="120" t="s">
        <v>174</v>
      </c>
      <c r="G5" s="120" t="s">
        <v>175</v>
      </c>
      <c r="H5" s="120" t="s">
        <v>176</v>
      </c>
      <c r="I5" s="120" t="s">
        <v>134</v>
      </c>
      <c r="J5" s="120" t="s">
        <v>177</v>
      </c>
      <c r="K5" s="121" t="s">
        <v>136</v>
      </c>
      <c r="L5" s="56"/>
      <c r="P5" s="106"/>
    </row>
    <row r="6" spans="2:20">
      <c r="B6" s="54"/>
      <c r="C6" s="174">
        <f>$C$16*(1+D6)</f>
        <v>38399.5</v>
      </c>
      <c r="D6" s="104">
        <v>-0.5</v>
      </c>
      <c r="E6" s="107">
        <v>0.12745747644846275</v>
      </c>
      <c r="F6" s="107">
        <f ca="1">'Day1 Vega Hedge'!M26/100000</f>
        <v>-0.10816078233361109</v>
      </c>
      <c r="G6" s="107">
        <f ca="1">E6+F6</f>
        <v>1.9296694114851659E-2</v>
      </c>
      <c r="H6" s="107">
        <f t="shared" ref="H6:H20" ca="1" si="0">-G6*$H$2*C6*100000/10000000</f>
        <v>-1.4819668113264928</v>
      </c>
      <c r="I6" s="107">
        <f t="shared" ref="I6:I15" ca="1" si="1">I7+P6</f>
        <v>-39.094219792243329</v>
      </c>
      <c r="J6" s="107">
        <f ca="1">'Day1 Vega Hedge'!N8</f>
        <v>-31.523644159912561</v>
      </c>
      <c r="K6" s="179">
        <f ca="1">SUM(H6:J6)</f>
        <v>-72.099830763482387</v>
      </c>
      <c r="L6" s="56"/>
      <c r="O6" s="122">
        <f t="shared" ref="O6:O15" si="2">E6-E7</f>
        <v>-5.6536795347643387E-3</v>
      </c>
      <c r="P6" s="107">
        <f t="shared" ref="P6:P15" ca="1" si="3">G7*(C6-C7)*100000/10000000</f>
        <v>-1.2568405923411239</v>
      </c>
      <c r="R6" s="175">
        <f ca="1">K6/100</f>
        <v>-0.72099830763482387</v>
      </c>
      <c r="T6" s="126"/>
    </row>
    <row r="7" spans="2:20">
      <c r="B7" s="54"/>
      <c r="C7" s="174">
        <f t="shared" ref="C7:C12" si="4">$C$16*(1+D7)</f>
        <v>42239.450000000004</v>
      </c>
      <c r="D7" s="104">
        <v>-0.45</v>
      </c>
      <c r="E7" s="107">
        <v>0.13311115598322709</v>
      </c>
      <c r="F7" s="107">
        <f ca="1">'Day1 Vega Hedge'!M27/100000</f>
        <v>-0.10038050604400595</v>
      </c>
      <c r="G7" s="107">
        <f t="shared" ref="G7:G20" ca="1" si="5">E7+F7</f>
        <v>3.2730649939221146E-2</v>
      </c>
      <c r="H7" s="107">
        <f t="shared" ca="1" si="0"/>
        <v>-2.7650493031504699</v>
      </c>
      <c r="I7" s="107">
        <f t="shared" ca="1" si="1"/>
        <v>-37.837379199902209</v>
      </c>
      <c r="J7" s="107">
        <f ca="1">'Day1 Vega Hedge'!N9</f>
        <v>-28.228343127659734</v>
      </c>
      <c r="K7" s="179">
        <f t="shared" ref="K7:K20" ca="1" si="6">SUM(H7:J7)</f>
        <v>-68.830771630712405</v>
      </c>
      <c r="L7" s="56"/>
      <c r="O7" s="122">
        <f t="shared" si="2"/>
        <v>-6.6920782800620748E-3</v>
      </c>
      <c r="P7" s="107">
        <f t="shared" ca="1" si="3"/>
        <v>-1.8578687036245298</v>
      </c>
      <c r="R7" s="175">
        <f t="shared" ref="R7:R20" ca="1" si="7">K7/100</f>
        <v>-0.68830771630712406</v>
      </c>
      <c r="T7" s="126"/>
    </row>
    <row r="8" spans="2:20">
      <c r="B8" s="54"/>
      <c r="C8" s="174">
        <f t="shared" si="4"/>
        <v>46079.4</v>
      </c>
      <c r="D8" s="104">
        <v>-0.4</v>
      </c>
      <c r="E8" s="107">
        <v>0.13980323426328917</v>
      </c>
      <c r="F8" s="107">
        <f ca="1">'Day1 Vega Hedge'!M28/100000</f>
        <v>-9.1420606790938455E-2</v>
      </c>
      <c r="G8" s="107">
        <f t="shared" ca="1" si="5"/>
        <v>4.8382627472350712E-2</v>
      </c>
      <c r="H8" s="107">
        <f t="shared" ca="1" si="0"/>
        <v>-4.4588848886988757</v>
      </c>
      <c r="I8" s="107">
        <f t="shared" ca="1" si="1"/>
        <v>-35.979510496277676</v>
      </c>
      <c r="J8" s="107">
        <f ca="1">'Day1 Vega Hedge'!N10</f>
        <v>-25.217310876810878</v>
      </c>
      <c r="K8" s="179">
        <f ca="1">SUM(H8:J8)</f>
        <v>-65.655706261787429</v>
      </c>
      <c r="L8" s="56"/>
      <c r="O8" s="122">
        <f t="shared" si="2"/>
        <v>-8.1022171468634052E-3</v>
      </c>
      <c r="P8" s="107">
        <f t="shared" ca="1" si="3"/>
        <v>-2.54081075656106</v>
      </c>
      <c r="R8" s="175">
        <f t="shared" ca="1" si="7"/>
        <v>-0.65655706261787428</v>
      </c>
      <c r="T8" s="126"/>
    </row>
    <row r="9" spans="2:20">
      <c r="B9" s="54"/>
      <c r="C9" s="174">
        <f t="shared" si="4"/>
        <v>49919.35</v>
      </c>
      <c r="D9" s="104">
        <v>-0.35</v>
      </c>
      <c r="E9" s="107">
        <v>0.14790545141015257</v>
      </c>
      <c r="F9" s="107">
        <f ca="1">'Day1 Vega Hedge'!M29/100000</f>
        <v>-8.1737643064703755E-2</v>
      </c>
      <c r="G9" s="107">
        <f t="shared" ca="1" si="5"/>
        <v>6.6167808345448817E-2</v>
      </c>
      <c r="H9" s="107">
        <f t="shared" ca="1" si="0"/>
        <v>-6.6061079670587608</v>
      </c>
      <c r="I9" s="107">
        <f t="shared" ca="1" si="1"/>
        <v>-33.438699739716618</v>
      </c>
      <c r="J9" s="107">
        <f ca="1">'Day1 Vega Hedge'!N11</f>
        <v>-22.445608350514348</v>
      </c>
      <c r="K9" s="179">
        <f t="shared" ca="1" si="6"/>
        <v>-62.490416057289728</v>
      </c>
      <c r="L9" s="56"/>
      <c r="O9" s="122">
        <f t="shared" si="2"/>
        <v>-8.9970388238706789E-3</v>
      </c>
      <c r="P9" s="107">
        <f t="shared" ca="1" si="3"/>
        <v>-3.2697126306208704</v>
      </c>
      <c r="R9" s="175">
        <f t="shared" ca="1" si="7"/>
        <v>-0.62490416057289733</v>
      </c>
      <c r="T9" s="126"/>
    </row>
    <row r="10" spans="2:20">
      <c r="B10" s="54"/>
      <c r="C10" s="174">
        <f t="shared" si="4"/>
        <v>53759.299999999996</v>
      </c>
      <c r="D10" s="104">
        <v>-0.3</v>
      </c>
      <c r="E10" s="107">
        <v>0.15690249023402325</v>
      </c>
      <c r="F10" s="107">
        <f ca="1">'Day1 Vega Hedge'!M30/100000</f>
        <v>-7.1752615089272082E-2</v>
      </c>
      <c r="G10" s="107">
        <f t="shared" ca="1" si="5"/>
        <v>8.5149875144751169E-2</v>
      </c>
      <c r="H10" s="107">
        <f t="shared" ca="1" si="0"/>
        <v>-9.1551953657384431</v>
      </c>
      <c r="I10" s="107">
        <f t="shared" ca="1" si="1"/>
        <v>-30.168987109095745</v>
      </c>
      <c r="J10" s="107">
        <f ca="1">'Day1 Vega Hedge'!N12</f>
        <v>-19.913398144001722</v>
      </c>
      <c r="K10" s="179">
        <f t="shared" ca="1" si="6"/>
        <v>-59.237580618835906</v>
      </c>
      <c r="L10" s="56"/>
      <c r="O10" s="122">
        <f t="shared" si="2"/>
        <v>-8.7511678482002919E-3</v>
      </c>
      <c r="P10" s="107">
        <f t="shared" ca="1" si="3"/>
        <v>-3.9803991288418472</v>
      </c>
      <c r="Q10" s="50" t="e">
        <f>-'MTM &amp; Margin req'!K</f>
        <v>#NAME?</v>
      </c>
      <c r="R10" s="175">
        <f t="shared" ca="1" si="7"/>
        <v>-0.59237580618835906</v>
      </c>
    </row>
    <row r="11" spans="2:20">
      <c r="B11" s="54"/>
      <c r="C11" s="174">
        <f t="shared" si="4"/>
        <v>57599.25</v>
      </c>
      <c r="D11" s="104">
        <v>-0.25</v>
      </c>
      <c r="E11" s="107">
        <v>0.16565365808222354</v>
      </c>
      <c r="F11" s="107">
        <f ca="1">'Day1 Vega Hedge'!M31/100000</f>
        <v>-6.1996081060599756E-2</v>
      </c>
      <c r="G11" s="107">
        <f t="shared" ca="1" si="5"/>
        <v>0.10365757702162379</v>
      </c>
      <c r="H11" s="107">
        <f t="shared" ca="1" si="0"/>
        <v>-11.941197386525529</v>
      </c>
      <c r="I11" s="107">
        <f t="shared" ca="1" si="1"/>
        <v>-26.188587980253899</v>
      </c>
      <c r="J11" s="107">
        <f ca="1">'Day1 Vega Hedge'!N13</f>
        <v>-17.68509716703387</v>
      </c>
      <c r="K11" s="179">
        <f t="shared" ca="1" si="6"/>
        <v>-55.814882533813304</v>
      </c>
      <c r="L11" s="56"/>
      <c r="O11" s="122">
        <f t="shared" si="2"/>
        <v>-7.1582941904987929E-3</v>
      </c>
      <c r="P11" s="107">
        <f t="shared" ca="1" si="3"/>
        <v>-4.6072595821208102</v>
      </c>
      <c r="R11" s="175">
        <f t="shared" ca="1" si="7"/>
        <v>-0.55814882533813304</v>
      </c>
    </row>
    <row r="12" spans="2:20">
      <c r="B12" s="54"/>
      <c r="C12" s="174">
        <f t="shared" si="4"/>
        <v>61439.200000000004</v>
      </c>
      <c r="D12" s="104">
        <v>-0.2</v>
      </c>
      <c r="E12" s="107">
        <v>0.17281195227272234</v>
      </c>
      <c r="F12" s="107">
        <f ca="1">'Day1 Vega Hedge'!M32/100000</f>
        <v>-5.2829671719048309E-2</v>
      </c>
      <c r="G12" s="107">
        <f t="shared" ca="1" si="5"/>
        <v>0.11998228055367402</v>
      </c>
      <c r="H12" s="107">
        <f t="shared" ca="1" si="0"/>
        <v>-14.74323066278658</v>
      </c>
      <c r="I12" s="107">
        <f t="shared" ca="1" si="1"/>
        <v>-21.581328398133088</v>
      </c>
      <c r="J12" s="107">
        <f ca="1">'Day1 Vega Hedge'!N14</f>
        <v>-15.738195054214074</v>
      </c>
      <c r="K12" s="179">
        <f t="shared" ca="1" si="6"/>
        <v>-52.062754115133743</v>
      </c>
      <c r="L12" s="56"/>
      <c r="O12" s="122">
        <f t="shared" si="2"/>
        <v>-4.3963684175856443E-3</v>
      </c>
      <c r="P12" s="107">
        <f t="shared" ca="1" si="3"/>
        <v>-5.0965665794753701</v>
      </c>
      <c r="R12" s="175">
        <f t="shared" ca="1" si="7"/>
        <v>-0.52062754115133747</v>
      </c>
    </row>
    <row r="13" spans="2:20">
      <c r="B13" s="54"/>
      <c r="C13" s="174">
        <f>$C$16*(1+D13)</f>
        <v>65279.15</v>
      </c>
      <c r="D13" s="104">
        <v>-0.15</v>
      </c>
      <c r="E13" s="107">
        <v>0.17720832069030798</v>
      </c>
      <c r="F13" s="107">
        <f ca="1">'Day1 Vega Hedge'!M33/100000</f>
        <v>-4.4483504495425902E-2</v>
      </c>
      <c r="G13" s="107">
        <f t="shared" ca="1" si="5"/>
        <v>0.13272481619488208</v>
      </c>
      <c r="H13" s="107">
        <f t="shared" ca="1" si="0"/>
        <v>-17.328326370216274</v>
      </c>
      <c r="I13" s="107">
        <f t="shared" ca="1" si="1"/>
        <v>-16.484761818657717</v>
      </c>
      <c r="J13" s="107">
        <f ca="1">'Day1 Vega Hedge'!N15</f>
        <v>-14.046475913573232</v>
      </c>
      <c r="K13" s="179">
        <f t="shared" ca="1" si="6"/>
        <v>-47.859564102447223</v>
      </c>
      <c r="L13" s="56"/>
      <c r="O13" s="122">
        <f t="shared" si="2"/>
        <v>-8.86189385999131E-4</v>
      </c>
      <c r="P13" s="107">
        <f t="shared" ca="1" si="3"/>
        <v>-5.4151109071012051</v>
      </c>
      <c r="R13" s="175">
        <f t="shared" ca="1" si="7"/>
        <v>-0.47859564102447222</v>
      </c>
    </row>
    <row r="14" spans="2:20">
      <c r="B14" s="54"/>
      <c r="C14" s="174">
        <f>$C$16*(1+D14)</f>
        <v>69119.100000000006</v>
      </c>
      <c r="D14" s="104">
        <v>-0.1</v>
      </c>
      <c r="E14" s="107">
        <v>0.17809451007630711</v>
      </c>
      <c r="F14" s="107">
        <f ca="1">'Day1 Vega Hedge'!M34/100000</f>
        <v>-3.7074160668080475E-2</v>
      </c>
      <c r="G14" s="107">
        <f t="shared" ca="1" si="5"/>
        <v>0.14102034940822664</v>
      </c>
      <c r="H14" s="107">
        <f t="shared" ca="1" si="0"/>
        <v>-19.494399265564319</v>
      </c>
      <c r="I14" s="107">
        <f t="shared" ca="1" si="1"/>
        <v>-11.06965091155651</v>
      </c>
      <c r="J14" s="107">
        <f ca="1">'Day1 Vega Hedge'!N16</f>
        <v>-12.582927632827108</v>
      </c>
      <c r="K14" s="179">
        <f t="shared" ca="1" si="6"/>
        <v>-43.146977809947934</v>
      </c>
      <c r="L14" s="56"/>
      <c r="O14" s="122">
        <f t="shared" si="2"/>
        <v>2.8707281123531159E-3</v>
      </c>
      <c r="P14" s="107">
        <f t="shared" ca="1" si="3"/>
        <v>-5.5523032542030535</v>
      </c>
      <c r="R14" s="175">
        <f t="shared" ca="1" si="7"/>
        <v>-0.43146977809947934</v>
      </c>
    </row>
    <row r="15" spans="2:20">
      <c r="B15" s="54"/>
      <c r="C15" s="174">
        <f>$C$16*(1+D15)</f>
        <v>72959.05</v>
      </c>
      <c r="D15" s="104">
        <v>-0.05</v>
      </c>
      <c r="E15" s="107">
        <v>0.175223781963954</v>
      </c>
      <c r="F15" s="107">
        <f ca="1">'Day1 Vega Hedge'!M35/100000</f>
        <v>-3.0630668662919931E-2</v>
      </c>
      <c r="G15" s="107">
        <f t="shared" ca="1" si="5"/>
        <v>0.14459311330103405</v>
      </c>
      <c r="H15" s="107">
        <f t="shared" ca="1" si="0"/>
        <v>-21.09875236597162</v>
      </c>
      <c r="I15" s="107">
        <f t="shared" ca="1" si="1"/>
        <v>-5.5173476573534561</v>
      </c>
      <c r="J15" s="107">
        <f ca="1">'Day1 Vega Hedge'!N17</f>
        <v>-11.32159366603268</v>
      </c>
      <c r="K15" s="179">
        <f t="shared" ca="1" si="6"/>
        <v>-37.937693689357758</v>
      </c>
      <c r="L15" s="56"/>
      <c r="O15" s="122">
        <f t="shared" si="2"/>
        <v>6.4200506364325005E-3</v>
      </c>
      <c r="P15" s="107">
        <f t="shared" ca="1" si="3"/>
        <v>-5.5173476573534561</v>
      </c>
      <c r="R15" s="175">
        <f t="shared" ca="1" si="7"/>
        <v>-0.3793769368935776</v>
      </c>
    </row>
    <row r="16" spans="2:20">
      <c r="B16" s="54"/>
      <c r="C16" s="176">
        <f>'Summary Sheet'!C3</f>
        <v>76799</v>
      </c>
      <c r="D16" s="105">
        <v>0</v>
      </c>
      <c r="E16" s="108">
        <v>0.16880373132752149</v>
      </c>
      <c r="F16" s="108">
        <f ca="1">'Day1 Vega Hedge'!M36/100000</f>
        <v>-2.5120931880824017E-2</v>
      </c>
      <c r="G16" s="108">
        <f t="shared" ca="1" si="5"/>
        <v>0.14368279944669748</v>
      </c>
      <c r="H16" s="108">
        <f ca="1">-G16*$H$2*C16*100000/10000000</f>
        <v>-22.069390629413842</v>
      </c>
      <c r="I16" s="108">
        <f>P16</f>
        <v>0</v>
      </c>
      <c r="J16" s="108">
        <f ca="1">'Day1 Vega Hedge'!N18</f>
        <v>-10.238580798636775</v>
      </c>
      <c r="K16" s="181">
        <f ca="1">SUM(H16:J16)</f>
        <v>-32.307971428050621</v>
      </c>
      <c r="L16" s="56"/>
      <c r="O16" s="122">
        <f>E16</f>
        <v>0.16880373132752149</v>
      </c>
      <c r="P16" s="106">
        <v>0</v>
      </c>
      <c r="R16" s="175">
        <f t="shared" ca="1" si="7"/>
        <v>-0.32307971428050619</v>
      </c>
      <c r="S16" s="50">
        <f>-34</f>
        <v>-34</v>
      </c>
      <c r="T16" s="126">
        <v>2.617715904831762</v>
      </c>
    </row>
    <row r="17" spans="2:18">
      <c r="B17" s="54"/>
      <c r="C17" s="174">
        <f>$C$16*(1+D17)</f>
        <v>80638.95</v>
      </c>
      <c r="D17" s="104">
        <v>0.05</v>
      </c>
      <c r="E17" s="107">
        <v>0.15937577373671</v>
      </c>
      <c r="F17" s="107">
        <f ca="1">'Day1 Vega Hedge'!M37/100000</f>
        <v>-2.0474631267784166E-2</v>
      </c>
      <c r="G17" s="107">
        <f t="shared" ca="1" si="5"/>
        <v>0.13890114246892582</v>
      </c>
      <c r="H17" s="107">
        <f t="shared" ca="1" si="0"/>
        <v>-22.401684564989175</v>
      </c>
      <c r="I17" s="107">
        <f ca="1">P17+I16</f>
        <v>5.5173476573534561</v>
      </c>
      <c r="J17" s="107">
        <f ca="1">'Day1 Vega Hedge'!N19</f>
        <v>-9.3124747056819324</v>
      </c>
      <c r="K17" s="179">
        <f t="shared" ca="1" si="6"/>
        <v>-26.196811613317653</v>
      </c>
      <c r="L17" s="56"/>
      <c r="O17" s="122">
        <f>E17-E16</f>
        <v>-9.4279575908114976E-3</v>
      </c>
      <c r="P17" s="107">
        <f ca="1">G16*(C17-C16)*100000/10000000</f>
        <v>5.5173476573534561</v>
      </c>
      <c r="R17" s="175">
        <f t="shared" ca="1" si="7"/>
        <v>-0.26196811613317655</v>
      </c>
    </row>
    <row r="18" spans="2:18">
      <c r="B18" s="54"/>
      <c r="C18" s="174">
        <f>$C$16*(1+D18)</f>
        <v>84478.900000000009</v>
      </c>
      <c r="D18" s="104">
        <v>0.1</v>
      </c>
      <c r="E18" s="107">
        <v>0.14767191407621541</v>
      </c>
      <c r="F18" s="107">
        <f ca="1">'Day1 Vega Hedge'!M38/100000</f>
        <v>-1.6601129247397199E-2</v>
      </c>
      <c r="G18" s="107">
        <f t="shared" ca="1" si="5"/>
        <v>0.1310707848288182</v>
      </c>
      <c r="H18" s="107">
        <f t="shared" ca="1" si="0"/>
        <v>-22.145431448950504</v>
      </c>
      <c r="I18" s="107">
        <f ca="1">P18+I17</f>
        <v>10.851082077588991</v>
      </c>
      <c r="J18" s="107">
        <f ca="1">'Day1 Vega Hedge'!N20</f>
        <v>-8.5243845658629294</v>
      </c>
      <c r="K18" s="179">
        <f t="shared" ca="1" si="6"/>
        <v>-19.818733937224444</v>
      </c>
      <c r="L18" s="56"/>
      <c r="O18" s="122">
        <f>E18-E17</f>
        <v>-1.1703859660494587E-2</v>
      </c>
      <c r="P18" s="107">
        <f ca="1">G17*(C18-C17)*100000/10000000</f>
        <v>5.3337344202355341</v>
      </c>
      <c r="R18" s="175">
        <f t="shared" ca="1" si="7"/>
        <v>-0.19818733937224445</v>
      </c>
    </row>
    <row r="19" spans="2:18">
      <c r="B19" s="54"/>
      <c r="C19" s="174">
        <f>$C$16*(1+D19)</f>
        <v>88318.849999999991</v>
      </c>
      <c r="D19" s="104">
        <v>0.15</v>
      </c>
      <c r="E19" s="107">
        <v>0.13448412448332958</v>
      </c>
      <c r="F19" s="107">
        <f ca="1">'Day1 Vega Hedge'!M39/100000</f>
        <v>-1.3402366584921933E-2</v>
      </c>
      <c r="G19" s="107">
        <f t="shared" ca="1" si="5"/>
        <v>0.12108175789840765</v>
      </c>
      <c r="H19" s="107">
        <f t="shared" ca="1" si="0"/>
        <v>-21.387603227131564</v>
      </c>
      <c r="I19" s="107">
        <f ca="1">P19+I18</f>
        <v>15.884134679623173</v>
      </c>
      <c r="J19" s="107">
        <f ca="1">'Day1 Vega Hedge'!N21</f>
        <v>-7.8577834551761896</v>
      </c>
      <c r="K19" s="179">
        <f t="shared" ca="1" si="6"/>
        <v>-13.36125200268458</v>
      </c>
      <c r="L19" s="56"/>
      <c r="O19" s="122">
        <f>E19-E18</f>
        <v>-1.3187789592885829E-2</v>
      </c>
      <c r="P19" s="107">
        <f ca="1">G18*(C19-C18)*100000/10000000</f>
        <v>5.0330526020341821</v>
      </c>
      <c r="R19" s="175">
        <f t="shared" ca="1" si="7"/>
        <v>-0.13361252002684579</v>
      </c>
    </row>
    <row r="20" spans="2:18">
      <c r="B20" s="54"/>
      <c r="C20" s="177">
        <f>$C$16*(1+D20)</f>
        <v>92158.8</v>
      </c>
      <c r="D20" s="124">
        <v>0.2</v>
      </c>
      <c r="E20" s="123">
        <v>0.12056472334423121</v>
      </c>
      <c r="F20" s="123">
        <f ca="1">'Day1 Vega Hedge'!M40/100000</f>
        <v>-1.0781452820089441E-2</v>
      </c>
      <c r="G20" s="123">
        <f t="shared" ca="1" si="5"/>
        <v>0.10978327052414177</v>
      </c>
      <c r="H20" s="123">
        <f t="shared" ca="1" si="0"/>
        <v>-20.234988943160555</v>
      </c>
      <c r="I20" s="123">
        <f ca="1">P20+I19</f>
        <v>20.533613642043093</v>
      </c>
      <c r="J20" s="123">
        <f ca="1">'Day1 Vega Hedge'!N22</f>
        <v>-7.2982569587796213</v>
      </c>
      <c r="K20" s="180">
        <f t="shared" ca="1" si="6"/>
        <v>-6.9996322598970835</v>
      </c>
      <c r="L20" s="56"/>
      <c r="O20" s="122">
        <f>E20-E19</f>
        <v>-1.391940113909837E-2</v>
      </c>
      <c r="P20" s="107">
        <f ca="1">G19*(C20-C19)*100000/10000000</f>
        <v>4.6494789624199191</v>
      </c>
      <c r="R20" s="175">
        <f t="shared" ca="1" si="7"/>
        <v>-6.9996322598970831E-2</v>
      </c>
    </row>
    <row r="21" spans="2:18">
      <c r="B21" s="54"/>
      <c r="C21" s="125" t="str">
        <f>"Note: Fut. Margin (cr.) is computed taking margin requirement of "&amp;TEXT(H2,"0.0%")&amp;" on Notional value of Futures"</f>
        <v>Note: Fut. Margin (cr.) is computed taking margin requirement of 20.0% on Notional value of Futures</v>
      </c>
      <c r="I21" s="126"/>
      <c r="J21" s="126"/>
      <c r="K21" s="126"/>
      <c r="L21" s="56"/>
    </row>
    <row r="22" spans="2:18" ht="13.5" thickBot="1">
      <c r="B22" s="73"/>
      <c r="C22" s="74"/>
      <c r="D22" s="74"/>
      <c r="E22" s="74"/>
      <c r="F22" s="74"/>
      <c r="G22" s="74"/>
      <c r="H22" s="74"/>
      <c r="I22" s="74"/>
      <c r="J22" s="74"/>
      <c r="K22" s="74"/>
      <c r="L22" s="76"/>
    </row>
  </sheetData>
  <pageMargins left="0.7" right="0.7" top="0.75" bottom="0.75" header="0.3" footer="0.3"/>
  <pageSetup paperSize="9" orientation="portrait" horizontalDpi="300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TM">
                <anchor moveWithCells="1" sizeWithCells="1">
                  <from>
                    <xdr:col>0</xdr:col>
                    <xdr:colOff>190500</xdr:colOff>
                    <xdr:row>0</xdr:row>
                    <xdr:rowOff>123825</xdr:rowOff>
                  </from>
                  <to>
                    <xdr:col>2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R29"/>
  <sheetViews>
    <sheetView showGridLines="0" topLeftCell="A5" zoomScale="86" zoomScaleNormal="80" workbookViewId="0">
      <selection activeCell="J29" sqref="J29"/>
    </sheetView>
  </sheetViews>
  <sheetFormatPr defaultRowHeight="14.25"/>
  <cols>
    <col min="1" max="1" width="2.86328125" customWidth="1"/>
    <col min="2" max="2" width="22" customWidth="1"/>
    <col min="3" max="3" width="15.86328125" customWidth="1"/>
    <col min="4" max="4" width="14.3984375" customWidth="1"/>
    <col min="5" max="5" width="16.3984375" bestFit="1" customWidth="1"/>
    <col min="6" max="6" width="12.73046875" customWidth="1"/>
    <col min="7" max="7" width="13.86328125" customWidth="1"/>
    <col min="8" max="8" width="14.3984375" bestFit="1" customWidth="1"/>
    <col min="9" max="9" width="13.59765625" bestFit="1" customWidth="1"/>
    <col min="10" max="10" width="13.86328125" bestFit="1" customWidth="1"/>
    <col min="11" max="12" width="12.3984375" bestFit="1" customWidth="1"/>
    <col min="13" max="13" width="11.86328125" customWidth="1"/>
    <col min="14" max="14" width="11.265625" bestFit="1" customWidth="1"/>
    <col min="15" max="15" width="9" customWidth="1"/>
    <col min="16" max="16" width="15.86328125" bestFit="1" customWidth="1"/>
    <col min="17" max="17" width="8.73046875" customWidth="1"/>
    <col min="18" max="18" width="13.59765625" bestFit="1" customWidth="1"/>
    <col min="19" max="19" width="16.3984375" bestFit="1" customWidth="1"/>
  </cols>
  <sheetData>
    <row r="1" spans="2:18">
      <c r="E1" s="4"/>
      <c r="F1" s="9"/>
      <c r="H1" s="37"/>
      <c r="J1" s="8"/>
    </row>
    <row r="2" spans="2:18">
      <c r="B2" s="39" t="s">
        <v>16</v>
      </c>
      <c r="C2" s="264">
        <v>46238</v>
      </c>
      <c r="D2" s="4" t="s">
        <v>200</v>
      </c>
      <c r="E2" s="4"/>
      <c r="F2" s="37"/>
      <c r="G2" s="128">
        <f>C2</f>
        <v>46238</v>
      </c>
      <c r="H2" s="128">
        <f>G2</f>
        <v>46238</v>
      </c>
      <c r="I2" s="128">
        <f>C2</f>
        <v>46238</v>
      </c>
      <c r="J2" s="128">
        <f>I2</f>
        <v>46238</v>
      </c>
      <c r="K2" s="128">
        <f t="shared" ref="K2:M2" si="0">J2</f>
        <v>46238</v>
      </c>
      <c r="L2" s="128">
        <f t="shared" si="0"/>
        <v>46238</v>
      </c>
      <c r="M2" s="128">
        <f t="shared" si="0"/>
        <v>46238</v>
      </c>
      <c r="N2" s="23"/>
    </row>
    <row r="3" spans="2:18">
      <c r="B3" s="39" t="s">
        <v>201</v>
      </c>
      <c r="C3" s="265">
        <v>76799</v>
      </c>
      <c r="D3" s="265">
        <v>76799</v>
      </c>
      <c r="E3" s="4"/>
      <c r="F3" s="9"/>
      <c r="G3" s="293">
        <f>38*30.5</f>
        <v>1159</v>
      </c>
      <c r="H3" s="293">
        <f>41*30.5</f>
        <v>1250.5</v>
      </c>
      <c r="I3" s="293">
        <f>44*30.5</f>
        <v>1342</v>
      </c>
      <c r="J3" s="293">
        <f>47*30.5</f>
        <v>1433.5</v>
      </c>
      <c r="K3" s="293">
        <f>50*30.5</f>
        <v>1525</v>
      </c>
      <c r="L3" s="293">
        <f>53*30.5</f>
        <v>1616.5</v>
      </c>
      <c r="M3" s="293">
        <f>56*30.5</f>
        <v>1708</v>
      </c>
      <c r="N3" s="17">
        <f>1900</f>
        <v>1900</v>
      </c>
      <c r="O3" s="17">
        <f>(N3-M3)/30.5</f>
        <v>6.2950819672131146</v>
      </c>
    </row>
    <row r="4" spans="2:18">
      <c r="B4" s="39" t="s">
        <v>77</v>
      </c>
      <c r="C4" s="266">
        <v>0.08</v>
      </c>
      <c r="E4" s="4"/>
      <c r="F4" s="127"/>
      <c r="G4" s="292">
        <f>G2+G3</f>
        <v>47397</v>
      </c>
      <c r="H4" s="292">
        <f>H2+H3</f>
        <v>47488.5</v>
      </c>
      <c r="I4" s="292">
        <f>I2+I3</f>
        <v>47580</v>
      </c>
      <c r="J4" s="292">
        <f t="shared" ref="J4:M4" si="1">J2+J3</f>
        <v>47671.5</v>
      </c>
      <c r="K4" s="292">
        <f t="shared" si="1"/>
        <v>47763</v>
      </c>
      <c r="L4" s="292">
        <f t="shared" si="1"/>
        <v>47854.5</v>
      </c>
      <c r="M4" s="292">
        <f t="shared" si="1"/>
        <v>47946</v>
      </c>
    </row>
    <row r="5" spans="2:18">
      <c r="B5" s="39" t="s">
        <v>80</v>
      </c>
      <c r="C5" s="201">
        <f>'Pricing Params'!H69+1%</f>
        <v>6.5000000000000002E-2</v>
      </c>
      <c r="D5" s="8"/>
      <c r="E5" s="8"/>
      <c r="G5" s="7">
        <v>0.25</v>
      </c>
      <c r="H5" s="23"/>
      <c r="I5" s="23"/>
      <c r="J5" s="23"/>
      <c r="K5" s="23"/>
      <c r="L5" s="1"/>
    </row>
    <row r="6" spans="2:18">
      <c r="B6" s="39" t="s">
        <v>190</v>
      </c>
      <c r="C6" s="298">
        <v>6.5790000000000001E-2</v>
      </c>
      <c r="D6" s="8"/>
      <c r="G6" s="8">
        <f>(1+G5)^(365/G3)-1</f>
        <v>7.2801931615337212E-2</v>
      </c>
      <c r="H6" s="37"/>
      <c r="I6" s="1"/>
      <c r="L6" s="1"/>
    </row>
    <row r="7" spans="2:18">
      <c r="C7" s="4"/>
      <c r="D7" s="9"/>
      <c r="E7" s="9"/>
      <c r="G7" s="273"/>
      <c r="I7" s="1"/>
      <c r="Q7" s="8"/>
    </row>
    <row r="8" spans="2:18">
      <c r="B8" s="263" t="s">
        <v>202</v>
      </c>
      <c r="C8" s="4"/>
      <c r="D8" s="9"/>
      <c r="E8" s="9"/>
      <c r="I8" s="1"/>
      <c r="Q8" s="8"/>
    </row>
    <row r="9" spans="2:18">
      <c r="B9" s="310" t="s">
        <v>89</v>
      </c>
      <c r="C9" s="269" t="s">
        <v>203</v>
      </c>
      <c r="D9" s="270" t="s">
        <v>58</v>
      </c>
      <c r="E9" s="270" t="s">
        <v>78</v>
      </c>
      <c r="F9" s="270" t="s">
        <v>64</v>
      </c>
      <c r="G9" s="270" t="s">
        <v>83</v>
      </c>
      <c r="H9" s="270" t="s">
        <v>85</v>
      </c>
      <c r="I9" s="270" t="s">
        <v>84</v>
      </c>
      <c r="J9" s="270" t="s">
        <v>86</v>
      </c>
      <c r="K9" s="270" t="s">
        <v>81</v>
      </c>
      <c r="L9" s="270" t="s">
        <v>82</v>
      </c>
      <c r="M9" s="270" t="s">
        <v>79</v>
      </c>
      <c r="N9" s="270" t="s">
        <v>71</v>
      </c>
      <c r="O9" s="270" t="s">
        <v>56</v>
      </c>
      <c r="P9" s="270" t="s">
        <v>95</v>
      </c>
      <c r="Q9" s="198" t="s">
        <v>118</v>
      </c>
    </row>
    <row r="10" spans="2:18">
      <c r="B10" s="311"/>
      <c r="C10" s="271">
        <v>0.37</v>
      </c>
      <c r="D10" s="300">
        <v>1.0249999999999999</v>
      </c>
      <c r="E10" s="301">
        <f>Pricer!F5</f>
        <v>7.9498854238243891E-2</v>
      </c>
      <c r="F10" s="301">
        <f>((1+D10)^(365/O10))-1</f>
        <v>0.14196325933716114</v>
      </c>
      <c r="G10" s="274">
        <v>0.25</v>
      </c>
      <c r="H10" s="272">
        <v>0.27</v>
      </c>
      <c r="I10" s="275">
        <v>0.27</v>
      </c>
      <c r="J10" s="275">
        <f>C10</f>
        <v>0.37</v>
      </c>
      <c r="K10" s="274">
        <v>1</v>
      </c>
      <c r="L10" s="273">
        <f>(D10-((H10-G10)*K10))/(J10-I10)</f>
        <v>10.050000000000001</v>
      </c>
      <c r="M10" s="274">
        <v>0.15</v>
      </c>
      <c r="N10" s="276">
        <v>1.6</v>
      </c>
      <c r="O10" s="276">
        <v>1940</v>
      </c>
      <c r="P10" s="277">
        <v>0.02</v>
      </c>
      <c r="Q10" s="278">
        <f ca="1">'MTM &amp; Margin req'!K16/-100</f>
        <v>0.32307971428050619</v>
      </c>
    </row>
    <row r="11" spans="2:18">
      <c r="E11" s="44"/>
      <c r="H11" s="8"/>
      <c r="I11" s="8"/>
      <c r="J11" s="8"/>
      <c r="K11" s="8"/>
      <c r="L11" s="8"/>
      <c r="Q11" s="4"/>
      <c r="R11" s="3"/>
    </row>
    <row r="12" spans="2:18">
      <c r="B12" s="262" t="s">
        <v>187</v>
      </c>
      <c r="C12" s="279">
        <v>47514</v>
      </c>
      <c r="D12" s="280">
        <v>47598</v>
      </c>
      <c r="E12" s="280">
        <v>47689</v>
      </c>
      <c r="F12" s="280">
        <v>47787</v>
      </c>
      <c r="G12" s="280">
        <v>47878</v>
      </c>
      <c r="H12" s="280">
        <v>47962</v>
      </c>
      <c r="I12" s="280" t="s">
        <v>188</v>
      </c>
      <c r="J12" s="281" t="s">
        <v>188</v>
      </c>
      <c r="K12" s="8"/>
      <c r="L12" s="299"/>
      <c r="M12" s="299"/>
      <c r="O12" s="4"/>
    </row>
    <row r="13" spans="2:18">
      <c r="D13" s="3"/>
      <c r="E13" s="3"/>
      <c r="M13" s="127"/>
      <c r="Q13" s="4"/>
      <c r="R13" s="3"/>
    </row>
    <row r="14" spans="2:18">
      <c r="B14" s="312" t="s">
        <v>90</v>
      </c>
      <c r="C14" s="282" t="s">
        <v>93</v>
      </c>
      <c r="D14" s="270" t="s">
        <v>94</v>
      </c>
      <c r="E14" s="270" t="s">
        <v>183</v>
      </c>
      <c r="F14" s="270" t="s">
        <v>87</v>
      </c>
      <c r="G14" s="270" t="s">
        <v>88</v>
      </c>
      <c r="H14" s="270" t="s">
        <v>91</v>
      </c>
      <c r="I14" s="270" t="s">
        <v>10</v>
      </c>
      <c r="J14" s="198" t="s">
        <v>92</v>
      </c>
    </row>
    <row r="15" spans="2:18">
      <c r="B15" s="313"/>
      <c r="C15" s="283">
        <v>100</v>
      </c>
      <c r="D15" s="284">
        <f>E12</f>
        <v>47689</v>
      </c>
      <c r="E15" s="285">
        <f ca="1">Pricer!Q5</f>
        <v>16880.373132752149</v>
      </c>
      <c r="F15" s="286">
        <f ca="1">Pricer!Q5*Pricer!$B$2/Pricer!E5</f>
        <v>1.2963957762222322</v>
      </c>
      <c r="G15" s="287">
        <f ca="1">SUMPRODUCT(Pricer!B32:CS32,Pricer!B61:CS61)/SUM(Pricer!B61:CS61)</f>
        <v>7.8071526742220398E-2</v>
      </c>
      <c r="H15" s="288">
        <f ca="1">((SUM(Pricer!B61:CS61))/10000000)*-1</f>
        <v>0.54314978947936943</v>
      </c>
      <c r="I15" s="287">
        <f ca="1">SUMPRODUCT(Pricer!B28:CS28,Pricer!B62:CS62)/SUM(Pricer!B62:CS62)</f>
        <v>5.4999999999999993E-2</v>
      </c>
      <c r="J15" s="290">
        <f ca="1">((SUM(Pricer!B62:CS62))/10000000)*-1</f>
        <v>-7.0884482095361765</v>
      </c>
      <c r="K15" s="5"/>
      <c r="O15" s="3"/>
    </row>
    <row r="16" spans="2:18">
      <c r="E16" s="294"/>
      <c r="F16" s="7"/>
      <c r="Q16" s="4"/>
      <c r="R16" s="3"/>
    </row>
    <row r="17" spans="2:18">
      <c r="B17" s="312" t="s">
        <v>189</v>
      </c>
      <c r="C17" s="269" t="s">
        <v>60</v>
      </c>
      <c r="D17" s="270" t="s">
        <v>63</v>
      </c>
      <c r="E17" s="198" t="s">
        <v>62</v>
      </c>
    </row>
    <row r="18" spans="2:18">
      <c r="B18" s="313"/>
      <c r="C18" s="296">
        <v>2.2499999999999999E-2</v>
      </c>
      <c r="D18" s="277">
        <v>1.2999999999999999E-3</v>
      </c>
      <c r="E18" s="289">
        <v>0</v>
      </c>
      <c r="F18" s="22" t="s">
        <v>198</v>
      </c>
    </row>
    <row r="19" spans="2:18">
      <c r="C19" s="8"/>
      <c r="D19" s="8"/>
      <c r="E19" s="44"/>
      <c r="Q19" s="4"/>
      <c r="R19" s="3"/>
    </row>
    <row r="20" spans="2:18">
      <c r="B20" s="136" t="s">
        <v>142</v>
      </c>
      <c r="H20" s="136" t="s">
        <v>152</v>
      </c>
    </row>
    <row r="21" spans="2:18">
      <c r="B21" t="str">
        <f>"Expiry: "&amp;TEXT(Pricer!B20,"dd-mmm-yy")&amp;","&amp;TEXT(Pricer!C20,"dd-mmm-yy")&amp;", "&amp;TEXT(Pricer!D20,"dd-mmm-yy")&amp;", "&amp;TEXT(Pricer!E20,"dd-mmm-yy")&amp;", "&amp;TEXT(Pricer!F20,"dd-mmm-yy")&amp;", "&amp;TEXT(Pricer!G20,"dd-mmm-yy")&amp;", "&amp;TEXT(Pricer!H20,"dd-mmm-yy")</f>
        <v>Expiry: 31-Jan-30,25-Apr-30, 25-Jul-30, 31-Oct-30, 30-Jan-31, 24-Apr-31, 24-Apr-31</v>
      </c>
      <c r="H21" s="14" t="s">
        <v>184</v>
      </c>
      <c r="I21" s="45"/>
    </row>
    <row r="22" spans="2:18">
      <c r="B22" s="225" t="s">
        <v>4</v>
      </c>
      <c r="C22" s="226" t="s">
        <v>96</v>
      </c>
      <c r="D22" s="226" t="s">
        <v>143</v>
      </c>
      <c r="E22" s="226" t="s">
        <v>144</v>
      </c>
      <c r="F22" s="227" t="s">
        <v>145</v>
      </c>
      <c r="G22" s="149"/>
      <c r="H22" s="225" t="s">
        <v>4</v>
      </c>
      <c r="I22" s="257" t="s">
        <v>59</v>
      </c>
      <c r="J22" s="226" t="s">
        <v>96</v>
      </c>
      <c r="K22" s="226" t="s">
        <v>143</v>
      </c>
      <c r="L22" s="226" t="s">
        <v>144</v>
      </c>
      <c r="M22" s="227" t="s">
        <v>186</v>
      </c>
    </row>
    <row r="23" spans="2:18">
      <c r="B23" s="228">
        <f>Pricer!B19</f>
        <v>105901</v>
      </c>
      <c r="C23" s="4" t="str">
        <f>Pricer!B25</f>
        <v>P</v>
      </c>
      <c r="D23" s="127">
        <f>SUMIF(Pricer!$B$17:$CS$17,G23,Pricer!$B$55:$CS$55)/100000</f>
        <v>-1.3001293661060802</v>
      </c>
      <c r="E23" s="139">
        <f ca="1">SUMIF(Pricer!$B$17:$CS$17,G23,Pricer!$B$35:$CS$35)/(2*COUNTIF(Pricer!$B$25:$I$25,"P"))</f>
        <v>13007.128548452447</v>
      </c>
      <c r="F23" s="229">
        <f t="shared" ref="F23:F28" ca="1" si="2">D23*E23*100000/10000000*-1</f>
        <v>169.10949794559778</v>
      </c>
      <c r="G23" s="259">
        <v>137</v>
      </c>
      <c r="H23" s="267">
        <v>76800</v>
      </c>
      <c r="I23" s="268">
        <f>D15</f>
        <v>47689</v>
      </c>
      <c r="J23" s="233" t="s">
        <v>29</v>
      </c>
      <c r="K23" s="234">
        <f ca="1">'Day1 Vega Hedge'!F8/100000</f>
        <v>-0.128096739179412</v>
      </c>
      <c r="L23" s="235">
        <f ca="1">'Day1 Vega Hedge'!G8</f>
        <v>3555.7598610375485</v>
      </c>
      <c r="M23" s="236">
        <f ca="1">K23*L23*100000/10000000*-1</f>
        <v>4.5548124350394916</v>
      </c>
      <c r="P23" s="128"/>
    </row>
    <row r="24" spans="2:18">
      <c r="B24" s="228">
        <f>Pricer!J19</f>
        <v>98171</v>
      </c>
      <c r="C24" s="4" t="str">
        <f>Pricer!J25</f>
        <v>P</v>
      </c>
      <c r="D24" s="127">
        <f>SUMIF(Pricer!$B$17:$CS$17,G24,Pricer!$B$55:$CS$55)/100000</f>
        <v>1.1707632600258733</v>
      </c>
      <c r="E24" s="139">
        <f ca="1">SUMIF(Pricer!$B$17:$CS$17,G24,Pricer!$B$35:$CS$35)/(2*COUNTIF(Pricer!$B$25:$I$25,"P"))</f>
        <v>9597.8722858246238</v>
      </c>
      <c r="F24" s="229">
        <f t="shared" ca="1" si="2"/>
        <v>-112.36836246664016</v>
      </c>
      <c r="G24" s="259">
        <v>127</v>
      </c>
      <c r="L24" s="4" t="s">
        <v>153</v>
      </c>
      <c r="M24" s="127">
        <f ca="1">'Day1 Vega Hedge'!I36</f>
        <v>-0.19610906602110845</v>
      </c>
    </row>
    <row r="25" spans="2:18">
      <c r="B25" s="228">
        <f>Pricer!R19</f>
        <v>96625</v>
      </c>
      <c r="C25" s="4" t="str">
        <f>Pricer!R25</f>
        <v>P</v>
      </c>
      <c r="D25" s="127">
        <f>SUMIF(Pricer!$B$17:$CS$17,G25,Pricer!$B$55:$CS$55)/100000</f>
        <v>0.12936610608020713</v>
      </c>
      <c r="E25" s="139">
        <f ca="1">SUMIF(Pricer!$B$17:$CS$17,G25,Pricer!$B$35:$CS$35)/(2*COUNTIF(Pricer!$B$25:$I$25,"P"))</f>
        <v>9001.7452319000149</v>
      </c>
      <c r="F25" s="229">
        <f t="shared" ca="1" si="2"/>
        <v>-11.645207285769761</v>
      </c>
      <c r="G25" s="259">
        <v>125</v>
      </c>
      <c r="H25" s="222" t="s">
        <v>204</v>
      </c>
      <c r="I25" s="295">
        <v>8.9507100000000006E-3</v>
      </c>
    </row>
    <row r="26" spans="2:18">
      <c r="B26" s="228">
        <f>Pricer!Z19</f>
        <v>65705</v>
      </c>
      <c r="C26" s="4" t="str">
        <f>Pricer!Z25</f>
        <v>P</v>
      </c>
      <c r="D26" s="127">
        <f>SUMIF(Pricer!$B$17:$CS$17,G26,Pricer!$B$55:$CS$55)/100000</f>
        <v>-3.311772315653299</v>
      </c>
      <c r="E26" s="139">
        <f ca="1">SUMIF(Pricer!$B$17:$CS$17,G26,Pricer!$B$35:$CS$35)/(2*COUNTIF(Pricer!$B$25:$I$25,"P"))</f>
        <v>2234.6260977776428</v>
      </c>
      <c r="F26" s="229">
        <f t="shared" ca="1" si="2"/>
        <v>74.005728464563603</v>
      </c>
      <c r="G26" s="259">
        <v>85</v>
      </c>
      <c r="H26" s="222" t="s">
        <v>205</v>
      </c>
      <c r="I26" s="295">
        <v>0.17100307000000001</v>
      </c>
    </row>
    <row r="27" spans="2:18">
      <c r="B27" s="228">
        <f>Pricer!AH19</f>
        <v>64932</v>
      </c>
      <c r="C27" s="9" t="str">
        <f>Pricer!AH25</f>
        <v>P</v>
      </c>
      <c r="D27" s="127">
        <f>SUMIF(Pricer!$B$17:$CS$17,G27,Pricer!$B$55:$CS$55)/100000</f>
        <v>3.1047865459249677</v>
      </c>
      <c r="E27" s="139">
        <f ca="1">SUMIF(Pricer!$B$17:$CS$17,G27,Pricer!$B$35:$CS$35)/(2*COUNTIF(Pricer!$B$25:$I$25,"P"))</f>
        <v>2152.4321247232378</v>
      </c>
      <c r="F27" s="229">
        <f t="shared" ca="1" si="2"/>
        <v>-66.828423018574014</v>
      </c>
      <c r="G27" s="259">
        <v>84</v>
      </c>
    </row>
    <row r="28" spans="2:18">
      <c r="B28" s="228">
        <f>Pricer!AP19</f>
        <v>54110</v>
      </c>
      <c r="C28" s="4" t="str">
        <f>Pricer!AP25</f>
        <v>P</v>
      </c>
      <c r="D28" s="127">
        <f>SUMIF(Pricer!$B$17:$CS$17,G28,Pricer!$B$55:$CS$55)/100000</f>
        <v>0.12936610608020696</v>
      </c>
      <c r="E28" s="139">
        <f ca="1">SUMIF(Pricer!$B$17:$CS$17,G28,Pricer!$B$35:$CS$35)/(2*COUNTIF(Pricer!$B$25:$I$25,"P"))</f>
        <v>1237.1137986788565</v>
      </c>
      <c r="F28" s="229">
        <f t="shared" ca="1" si="2"/>
        <v>-1.6004059491317673</v>
      </c>
      <c r="G28" s="259">
        <v>70</v>
      </c>
    </row>
    <row r="29" spans="2:18">
      <c r="B29" s="230"/>
      <c r="C29" s="231"/>
      <c r="D29" s="231"/>
      <c r="E29" s="226" t="s">
        <v>146</v>
      </c>
      <c r="F29" s="232">
        <f ca="1">SUM(F23:F28)</f>
        <v>50.672827690045679</v>
      </c>
      <c r="H29" t="s">
        <v>213</v>
      </c>
      <c r="J29">
        <v>5</v>
      </c>
    </row>
  </sheetData>
  <mergeCells count="3">
    <mergeCell ref="B9:B10"/>
    <mergeCell ref="B17:B18"/>
    <mergeCell ref="B14:B15"/>
  </mergeCells>
  <pageMargins left="0.7" right="0.7" top="0.75" bottom="0.75" header="0.3" footer="0.3"/>
  <pageSetup paperSize="9" orientation="portrait" horizontalDpi="4294967295" verticalDpi="4294967295" r:id="rId1"/>
  <ignoredErrors>
    <ignoredError sqref="I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acro2">
                <anchor moveWithCells="1" sizeWithCells="1">
                  <from>
                    <xdr:col>3</xdr:col>
                    <xdr:colOff>933450</xdr:colOff>
                    <xdr:row>6</xdr:row>
                    <xdr:rowOff>19050</xdr:rowOff>
                  </from>
                  <to>
                    <xdr:col>5</xdr:col>
                    <xdr:colOff>38100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DA65"/>
  <sheetViews>
    <sheetView showGridLines="0" topLeftCell="A30" zoomScale="80" zoomScaleNormal="85" workbookViewId="0">
      <pane xSplit="1" topLeftCell="B1" activePane="topRight" state="frozen"/>
      <selection pane="topRight" activeCell="B56" sqref="B56"/>
    </sheetView>
  </sheetViews>
  <sheetFormatPr defaultRowHeight="14.25" outlineLevelRow="1"/>
  <cols>
    <col min="1" max="1" width="19.73046875" customWidth="1"/>
    <col min="2" max="2" width="21.86328125" bestFit="1" customWidth="1"/>
    <col min="3" max="8" width="19.73046875" customWidth="1"/>
    <col min="9" max="9" width="19.73046875" hidden="1" customWidth="1"/>
    <col min="10" max="16" width="19.73046875" customWidth="1"/>
    <col min="17" max="17" width="19.73046875" hidden="1" customWidth="1"/>
    <col min="18" max="24" width="19.73046875" customWidth="1"/>
    <col min="25" max="25" width="19.73046875" hidden="1" customWidth="1"/>
    <col min="26" max="32" width="19.73046875" customWidth="1"/>
    <col min="33" max="33" width="19.73046875" hidden="1" customWidth="1"/>
    <col min="34" max="40" width="19.73046875" customWidth="1"/>
    <col min="41" max="41" width="19.73046875" hidden="1" customWidth="1"/>
    <col min="42" max="48" width="19.73046875" customWidth="1"/>
    <col min="49" max="49" width="19.73046875" hidden="1" customWidth="1"/>
    <col min="50" max="73" width="19.73046875" customWidth="1"/>
    <col min="74" max="74" width="12.73046875" bestFit="1" customWidth="1"/>
    <col min="75" max="75" width="18" customWidth="1"/>
    <col min="76" max="76" width="12.3984375" customWidth="1"/>
    <col min="77" max="81" width="14.3984375" customWidth="1"/>
    <col min="82" max="89" width="15.1328125" customWidth="1"/>
    <col min="90" max="97" width="13.59765625" customWidth="1"/>
    <col min="98" max="102" width="11.73046875" bestFit="1" customWidth="1"/>
    <col min="103" max="108" width="12.3984375" bestFit="1" customWidth="1"/>
    <col min="109" max="109" width="9.86328125" customWidth="1"/>
    <col min="110" max="110" width="10.265625" bestFit="1" customWidth="1"/>
    <col min="111" max="111" width="10" customWidth="1"/>
    <col min="112" max="112" width="9.86328125" customWidth="1"/>
    <col min="113" max="113" width="10.265625" customWidth="1"/>
    <col min="114" max="115" width="9.86328125" customWidth="1"/>
    <col min="116" max="116" width="10.265625" bestFit="1" customWidth="1"/>
    <col min="117" max="117" width="10" customWidth="1"/>
    <col min="118" max="118" width="9.86328125" customWidth="1"/>
    <col min="119" max="119" width="9.59765625" customWidth="1"/>
    <col min="120" max="120" width="9.86328125" customWidth="1"/>
  </cols>
  <sheetData>
    <row r="1" spans="1:105">
      <c r="A1" s="190" t="s">
        <v>50</v>
      </c>
      <c r="B1" s="192">
        <f>'Summary Sheet'!C2</f>
        <v>46238</v>
      </c>
      <c r="F1" s="13"/>
      <c r="H1" s="13"/>
      <c r="Z1" s="15"/>
    </row>
    <row r="2" spans="1:105">
      <c r="A2" s="191" t="s">
        <v>206</v>
      </c>
      <c r="B2" s="41">
        <f>'Summary Sheet'!C3</f>
        <v>76799</v>
      </c>
      <c r="K2" s="15"/>
      <c r="L2" s="15"/>
      <c r="M2" s="15"/>
      <c r="N2" s="15"/>
      <c r="Z2" s="187"/>
    </row>
    <row r="3" spans="1:105" ht="15.75">
      <c r="A3" s="35"/>
      <c r="B3" s="193"/>
      <c r="C3" s="195"/>
      <c r="D3" s="195"/>
      <c r="E3" s="196"/>
      <c r="G3" s="2"/>
      <c r="H3" s="21"/>
      <c r="I3" s="16"/>
      <c r="J3" s="1"/>
      <c r="K3" s="21"/>
      <c r="L3" s="21"/>
      <c r="M3" s="21"/>
      <c r="N3" s="21"/>
      <c r="Q3" s="10"/>
      <c r="Z3" s="187"/>
      <c r="AA3" s="21"/>
      <c r="AB3" s="21"/>
      <c r="AC3" s="21"/>
      <c r="AD3" s="21"/>
      <c r="AE3" s="21"/>
      <c r="AF3" s="21"/>
      <c r="AH3" s="12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</row>
    <row r="4" spans="1:105">
      <c r="A4" s="194"/>
      <c r="B4" s="38" t="s">
        <v>207</v>
      </c>
      <c r="C4" s="41" t="s">
        <v>58</v>
      </c>
      <c r="D4" s="41" t="s">
        <v>59</v>
      </c>
      <c r="E4" s="4" t="s">
        <v>52</v>
      </c>
      <c r="F4" s="41" t="s">
        <v>185</v>
      </c>
      <c r="G4" s="41" t="s">
        <v>68</v>
      </c>
      <c r="H4" s="41" t="s">
        <v>53</v>
      </c>
      <c r="I4" s="41" t="s">
        <v>61</v>
      </c>
      <c r="J4" s="198" t="s">
        <v>54</v>
      </c>
      <c r="K4" s="206" t="s">
        <v>55</v>
      </c>
      <c r="L4" s="41" t="s">
        <v>65</v>
      </c>
      <c r="M4" s="41" t="s">
        <v>66</v>
      </c>
      <c r="N4" s="41" t="s">
        <v>56</v>
      </c>
      <c r="O4" s="41" t="s">
        <v>57</v>
      </c>
      <c r="P4" s="41" t="s">
        <v>58</v>
      </c>
      <c r="Q4" s="41" t="s">
        <v>8</v>
      </c>
      <c r="R4" s="38" t="s">
        <v>9</v>
      </c>
      <c r="S4" s="41" t="s">
        <v>10</v>
      </c>
      <c r="T4" s="41" t="s">
        <v>31</v>
      </c>
      <c r="U4" s="41" t="s">
        <v>64</v>
      </c>
      <c r="V4" s="38" t="s">
        <v>40</v>
      </c>
      <c r="Z4" s="4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</row>
    <row r="5" spans="1:105">
      <c r="A5" s="212" t="str">
        <f>'Summary Sheet'!B8</f>
        <v>Sensex ACCELERATOR</v>
      </c>
      <c r="B5" s="191">
        <f>ROUNDUP('Summary Sheet'!D3*1.006,-2)</f>
        <v>77300</v>
      </c>
      <c r="C5" s="201">
        <f>'Summary Sheet'!D10</f>
        <v>1.0249999999999999</v>
      </c>
      <c r="D5" s="202">
        <f>'Summary Sheet'!D15</f>
        <v>47689</v>
      </c>
      <c r="E5" s="199">
        <f>'Summary Sheet'!C15*10000000</f>
        <v>1000000000</v>
      </c>
      <c r="F5" s="203">
        <f>H5/E5</f>
        <v>7.9498854238243891E-2</v>
      </c>
      <c r="G5" s="40">
        <f>SUM(B8:B10)</f>
        <v>2.3799999999999998E-2</v>
      </c>
      <c r="H5" s="204">
        <v>79498854.238243893</v>
      </c>
      <c r="I5" s="205">
        <f>G5*E5</f>
        <v>23800000</v>
      </c>
      <c r="J5" s="200">
        <f ca="1">E5-H5-I5-V5</f>
        <v>573621431.48124981</v>
      </c>
      <c r="K5" s="205">
        <f ca="1">SUM(B56:CS56)</f>
        <v>506728276.90045649</v>
      </c>
      <c r="L5" s="40">
        <f>'Summary Sheet'!$C$4</f>
        <v>0.08</v>
      </c>
      <c r="M5" s="40">
        <f>'Summary Sheet'!$C$5</f>
        <v>6.5000000000000002E-2</v>
      </c>
      <c r="N5" s="41">
        <f>'Summary Sheet'!O10</f>
        <v>1940</v>
      </c>
      <c r="O5" s="200">
        <f ca="1">(E5-H5-I5-V5)*((1+L5)^(N5/365))+K5*((1+M5)^(N5/365))+V5*((1+'Summary Sheet'!$C$6)^(N5/365))</f>
        <v>2024999999.9999995</v>
      </c>
      <c r="P5" s="207">
        <f ca="1">O5/E5-1</f>
        <v>1.0249999999999995</v>
      </c>
      <c r="Q5" s="208">
        <f ca="1">SUM(B58:CS58)</f>
        <v>16880.373132752149</v>
      </c>
      <c r="R5" s="197">
        <f ca="1">SUM(B61:CS61)</f>
        <v>-5431497.8947936939</v>
      </c>
      <c r="S5" s="210">
        <f ca="1">SUM(B62:CS62)</f>
        <v>70884482.095361769</v>
      </c>
      <c r="T5" s="211">
        <f ca="1">SUM(B59:CS59)</f>
        <v>-0.20924537898565765</v>
      </c>
      <c r="U5" s="42">
        <f ca="1">((1+P5)^(365/N5))-1</f>
        <v>0.14196325933716092</v>
      </c>
      <c r="V5" s="209">
        <f ca="1">E5*'Summary Sheet'!Q10</f>
        <v>323079714.28050619</v>
      </c>
      <c r="Z5" s="29"/>
      <c r="AC5" s="37"/>
      <c r="AD5" s="37"/>
    </row>
    <row r="6" spans="1:105">
      <c r="A6" s="4"/>
      <c r="B6" s="4"/>
      <c r="H6" s="2"/>
      <c r="I6" s="33"/>
      <c r="K6" s="37"/>
      <c r="L6" s="37"/>
      <c r="M6" s="37"/>
      <c r="N6" s="37"/>
    </row>
    <row r="7" spans="1:105">
      <c r="A7" s="22"/>
      <c r="B7" s="195"/>
      <c r="H7" s="213"/>
      <c r="I7" s="41" t="s">
        <v>135</v>
      </c>
      <c r="J7" s="214">
        <v>0</v>
      </c>
      <c r="K7" s="215">
        <f ca="1">SUM(B58:CQ58)/100000</f>
        <v>0.16880373132752149</v>
      </c>
      <c r="L7" s="47"/>
      <c r="M7" s="47"/>
      <c r="N7" s="47"/>
      <c r="O7" s="32"/>
      <c r="P7" s="34"/>
    </row>
    <row r="8" spans="1:105">
      <c r="A8" s="212" t="s">
        <v>60</v>
      </c>
      <c r="B8" s="216">
        <f>'Summary Sheet'!C18</f>
        <v>2.2499999999999999E-2</v>
      </c>
      <c r="C8" s="9"/>
      <c r="D8" s="9"/>
      <c r="F8" s="9"/>
      <c r="G8" s="20"/>
      <c r="H8" s="20"/>
      <c r="J8" s="2">
        <v>0.2</v>
      </c>
    </row>
    <row r="9" spans="1:105">
      <c r="A9" s="212" t="s">
        <v>63</v>
      </c>
      <c r="B9" s="216">
        <f>'Summary Sheet'!D18</f>
        <v>1.2999999999999999E-3</v>
      </c>
      <c r="C9" s="9"/>
      <c r="D9" s="9"/>
      <c r="E9" s="9"/>
      <c r="F9" s="9"/>
      <c r="G9" s="20"/>
      <c r="H9" s="20"/>
    </row>
    <row r="10" spans="1:105">
      <c r="A10" s="212" t="s">
        <v>62</v>
      </c>
      <c r="B10" s="216">
        <f>'Summary Sheet'!E18</f>
        <v>0</v>
      </c>
      <c r="C10" s="11"/>
      <c r="D10" s="11"/>
      <c r="E10" s="11"/>
      <c r="F10" s="11"/>
      <c r="G10" s="11"/>
      <c r="H10" s="11"/>
      <c r="K10" s="23"/>
      <c r="L10" s="23"/>
      <c r="M10" s="23"/>
      <c r="N10" s="23"/>
    </row>
    <row r="11" spans="1:105">
      <c r="A11" s="4"/>
      <c r="B11" s="9"/>
      <c r="C11" s="9"/>
      <c r="D11" s="11"/>
      <c r="J11" s="4"/>
      <c r="Q11" s="23"/>
      <c r="R11" s="23"/>
      <c r="S11" s="23"/>
      <c r="T11" s="23"/>
    </row>
    <row r="12" spans="1:105">
      <c r="B12" s="217" t="s">
        <v>70</v>
      </c>
      <c r="C12" s="219">
        <f>C5</f>
        <v>1.0249999999999999</v>
      </c>
      <c r="D12" s="217" t="s">
        <v>71</v>
      </c>
      <c r="E12" s="222">
        <f>'Summary Sheet'!N10</f>
        <v>1.6</v>
      </c>
    </row>
    <row r="13" spans="1:105">
      <c r="B13" s="217" t="s">
        <v>74</v>
      </c>
      <c r="C13" s="220">
        <f>('Summary Sheet'!H10-'Summary Sheet'!G10)*'Summary Sheet'!K10</f>
        <v>2.0000000000000018E-2</v>
      </c>
      <c r="D13" s="217" t="s">
        <v>72</v>
      </c>
      <c r="E13" s="223">
        <f>'Summary Sheet'!M10</f>
        <v>0.15</v>
      </c>
      <c r="CZ13" s="36"/>
      <c r="DA13" s="36"/>
    </row>
    <row r="14" spans="1:105">
      <c r="B14" s="217" t="s">
        <v>75</v>
      </c>
      <c r="C14" s="221">
        <f>'Summary Sheet'!L10*('Summary Sheet'!J10-'Summary Sheet'!I10)</f>
        <v>1.0049999999999999</v>
      </c>
      <c r="D14" s="218" t="s">
        <v>73</v>
      </c>
      <c r="E14" s="224">
        <f>E13*E12</f>
        <v>0.24</v>
      </c>
    </row>
    <row r="15" spans="1:105">
      <c r="C15" s="28"/>
      <c r="D15" s="28"/>
      <c r="E15" s="28"/>
      <c r="F15" s="28"/>
      <c r="G15" s="1"/>
      <c r="H15" s="1"/>
      <c r="I15" s="1"/>
      <c r="W15" s="1"/>
      <c r="X15" s="1"/>
      <c r="Y15" s="1"/>
      <c r="Z15" s="1"/>
      <c r="AA15" s="1"/>
    </row>
    <row r="16" spans="1:105">
      <c r="B16" s="14"/>
      <c r="BW16" s="14"/>
    </row>
    <row r="17" spans="1:97">
      <c r="B17" s="26">
        <f>100*(1+'Summary Sheet'!$J$10)</f>
        <v>137</v>
      </c>
      <c r="C17" s="26">
        <f>100*(1+'Summary Sheet'!$J$10)</f>
        <v>137</v>
      </c>
      <c r="D17" s="26">
        <f>100*(1+'Summary Sheet'!$J$10)</f>
        <v>137</v>
      </c>
      <c r="E17" s="26">
        <f>100*(1+'Summary Sheet'!$J$10)</f>
        <v>137</v>
      </c>
      <c r="F17" s="26">
        <f>100*(1+'Summary Sheet'!$J$10)</f>
        <v>137</v>
      </c>
      <c r="G17" s="26">
        <f>100*(1+'Summary Sheet'!$J$10)</f>
        <v>137</v>
      </c>
      <c r="H17" s="26">
        <f>100*(1+'Summary Sheet'!$J$10)</f>
        <v>137</v>
      </c>
      <c r="I17" s="26">
        <f>100*(1+'Summary Sheet'!$J$10)</f>
        <v>137</v>
      </c>
      <c r="J17" s="26">
        <f>100*(1+'Summary Sheet'!$I$10)</f>
        <v>127</v>
      </c>
      <c r="K17" s="26">
        <f>100*(1+'Summary Sheet'!$I$10)</f>
        <v>127</v>
      </c>
      <c r="L17" s="26">
        <f>100*(1+'Summary Sheet'!$I$10)</f>
        <v>127</v>
      </c>
      <c r="M17" s="26">
        <f>100*(1+'Summary Sheet'!$I$10)</f>
        <v>127</v>
      </c>
      <c r="N17" s="26">
        <f>100*(1+'Summary Sheet'!$I$10)</f>
        <v>127</v>
      </c>
      <c r="O17" s="26">
        <f>100*(1+'Summary Sheet'!$I$10)</f>
        <v>127</v>
      </c>
      <c r="P17" s="26">
        <f>100*(1+'Summary Sheet'!$I$10)</f>
        <v>127</v>
      </c>
      <c r="Q17" s="26">
        <f>100*(1+'Summary Sheet'!$I$10)</f>
        <v>127</v>
      </c>
      <c r="R17" s="27">
        <f>100*(1+'Summary Sheet'!$G$10)</f>
        <v>125</v>
      </c>
      <c r="S17" s="27">
        <f>100*(1+'Summary Sheet'!$G$10)</f>
        <v>125</v>
      </c>
      <c r="T17" s="27">
        <f>100*(1+'Summary Sheet'!$G$10)</f>
        <v>125</v>
      </c>
      <c r="U17" s="27">
        <f>100*(1+'Summary Sheet'!$G$10)</f>
        <v>125</v>
      </c>
      <c r="V17" s="27">
        <f>100*(1+'Summary Sheet'!$G$10)</f>
        <v>125</v>
      </c>
      <c r="W17" s="27">
        <f>100*(1+'Summary Sheet'!$G$10)</f>
        <v>125</v>
      </c>
      <c r="X17" s="27">
        <f>100*(1+'Summary Sheet'!$G$10)</f>
        <v>125</v>
      </c>
      <c r="Y17" s="27">
        <f>100*(1+'Summary Sheet'!$G$10)</f>
        <v>125</v>
      </c>
      <c r="Z17" s="25">
        <f>100*(1-'Summary Sheet'!$M$10)</f>
        <v>85</v>
      </c>
      <c r="AA17" s="25">
        <f>100*(1-'Summary Sheet'!$M$10)</f>
        <v>85</v>
      </c>
      <c r="AB17" s="25">
        <f>100*(1-'Summary Sheet'!$M$10)</f>
        <v>85</v>
      </c>
      <c r="AC17" s="25">
        <f>100*(1-'Summary Sheet'!$M$10)</f>
        <v>85</v>
      </c>
      <c r="AD17" s="25">
        <f>100*(1-'Summary Sheet'!$M$10)</f>
        <v>85</v>
      </c>
      <c r="AE17" s="25">
        <f>100*(1-'Summary Sheet'!$M$10)</f>
        <v>85</v>
      </c>
      <c r="AF17" s="25">
        <f>100*(1-'Summary Sheet'!$M$10)</f>
        <v>85</v>
      </c>
      <c r="AG17" s="25">
        <f>100*(1-'Summary Sheet'!$M$10)</f>
        <v>85</v>
      </c>
      <c r="AH17" s="25">
        <f>Z17-1</f>
        <v>84</v>
      </c>
      <c r="AI17" s="25">
        <f t="shared" ref="AI17:AO17" si="0">AA17-1</f>
        <v>84</v>
      </c>
      <c r="AJ17" s="25">
        <f t="shared" si="0"/>
        <v>84</v>
      </c>
      <c r="AK17" s="25">
        <f t="shared" si="0"/>
        <v>84</v>
      </c>
      <c r="AL17" s="25">
        <f t="shared" si="0"/>
        <v>84</v>
      </c>
      <c r="AM17" s="25">
        <f t="shared" si="0"/>
        <v>84</v>
      </c>
      <c r="AN17" s="25">
        <f t="shared" si="0"/>
        <v>84</v>
      </c>
      <c r="AO17" s="25">
        <f t="shared" si="0"/>
        <v>84</v>
      </c>
      <c r="AP17" s="26">
        <v>70</v>
      </c>
      <c r="AQ17" s="26">
        <v>70</v>
      </c>
      <c r="AR17" s="26">
        <v>70</v>
      </c>
      <c r="AS17" s="26">
        <v>70</v>
      </c>
      <c r="AT17" s="26">
        <v>70</v>
      </c>
      <c r="AU17" s="26">
        <v>70</v>
      </c>
      <c r="AV17" s="26">
        <v>70</v>
      </c>
      <c r="AW17" s="26">
        <v>70</v>
      </c>
      <c r="AX17" s="129">
        <f>100*(1+'Summary Sheet'!$J$10)</f>
        <v>137</v>
      </c>
      <c r="AY17" s="129">
        <f>100*(1+'Summary Sheet'!$J$10)</f>
        <v>137</v>
      </c>
      <c r="AZ17" s="129">
        <f>100*(1+'Summary Sheet'!$J$10)</f>
        <v>137</v>
      </c>
      <c r="BA17" s="129">
        <f>100*(1+'Summary Sheet'!$J$10)</f>
        <v>137</v>
      </c>
      <c r="BB17" s="129">
        <f>100*(1+'Summary Sheet'!$J$10)</f>
        <v>137</v>
      </c>
      <c r="BC17" s="129">
        <f>100*(1+'Summary Sheet'!$J$10)</f>
        <v>137</v>
      </c>
      <c r="BD17" s="129">
        <f>100*(1+'Summary Sheet'!$J$10)</f>
        <v>137</v>
      </c>
      <c r="BE17" s="129">
        <f>100*(1+'Summary Sheet'!$J$10)</f>
        <v>137</v>
      </c>
      <c r="BF17" s="129">
        <f>100*(1+'Summary Sheet'!$I$10)</f>
        <v>127</v>
      </c>
      <c r="BG17" s="129">
        <f>100*(1+'Summary Sheet'!$I$10)</f>
        <v>127</v>
      </c>
      <c r="BH17" s="129">
        <f>100*(1+'Summary Sheet'!$I$10)</f>
        <v>127</v>
      </c>
      <c r="BI17" s="129">
        <f>100*(1+'Summary Sheet'!$I$10)</f>
        <v>127</v>
      </c>
      <c r="BJ17" s="129">
        <f>100*(1+'Summary Sheet'!$I$10)</f>
        <v>127</v>
      </c>
      <c r="BK17" s="129">
        <f>100*(1+'Summary Sheet'!$I$10)</f>
        <v>127</v>
      </c>
      <c r="BL17" s="129">
        <f>100*(1+'Summary Sheet'!$I$10)</f>
        <v>127</v>
      </c>
      <c r="BM17" s="129">
        <f>100*(1+'Summary Sheet'!$I$10)</f>
        <v>127</v>
      </c>
      <c r="BN17" s="131">
        <f>100*(1+'Summary Sheet'!$G$10)</f>
        <v>125</v>
      </c>
      <c r="BO17" s="131">
        <f>100*(1+'Summary Sheet'!$G$10)</f>
        <v>125</v>
      </c>
      <c r="BP17" s="131">
        <f>100*(1+'Summary Sheet'!$G$10)</f>
        <v>125</v>
      </c>
      <c r="BQ17" s="131">
        <f>100*(1+'Summary Sheet'!$G$10)</f>
        <v>125</v>
      </c>
      <c r="BR17" s="131">
        <f>100*(1+'Summary Sheet'!$G$10)</f>
        <v>125</v>
      </c>
      <c r="BS17" s="131">
        <f>100*(1+'Summary Sheet'!$G$10)</f>
        <v>125</v>
      </c>
      <c r="BT17" s="131">
        <f>100*(1+'Summary Sheet'!$G$10)</f>
        <v>125</v>
      </c>
      <c r="BU17" s="131">
        <f>100*(1+'Summary Sheet'!$G$10)</f>
        <v>125</v>
      </c>
      <c r="BV17" s="130">
        <f>100*(1-'Summary Sheet'!$M$10)</f>
        <v>85</v>
      </c>
      <c r="BW17" s="130">
        <f>100*(1-'Summary Sheet'!$M$10)</f>
        <v>85</v>
      </c>
      <c r="BX17" s="130">
        <f>100*(1-'Summary Sheet'!$M$10)</f>
        <v>85</v>
      </c>
      <c r="BY17" s="130">
        <f>100*(1-'Summary Sheet'!$M$10)</f>
        <v>85</v>
      </c>
      <c r="BZ17" s="130">
        <f>100*(1-'Summary Sheet'!$M$10)</f>
        <v>85</v>
      </c>
      <c r="CA17" s="130">
        <f>100*(1-'Summary Sheet'!$M$10)</f>
        <v>85</v>
      </c>
      <c r="CB17" s="130">
        <f>100*(1-'Summary Sheet'!$M$10)</f>
        <v>85</v>
      </c>
      <c r="CC17" s="130">
        <f>100*(1-'Summary Sheet'!$M$10)</f>
        <v>85</v>
      </c>
      <c r="CD17" s="130">
        <f>BV17-1</f>
        <v>84</v>
      </c>
      <c r="CE17" s="130">
        <f t="shared" ref="CE17:CK17" si="1">BW17-1</f>
        <v>84</v>
      </c>
      <c r="CF17" s="130">
        <f t="shared" si="1"/>
        <v>84</v>
      </c>
      <c r="CG17" s="130">
        <f t="shared" si="1"/>
        <v>84</v>
      </c>
      <c r="CH17" s="130">
        <f t="shared" si="1"/>
        <v>84</v>
      </c>
      <c r="CI17" s="130">
        <f t="shared" si="1"/>
        <v>84</v>
      </c>
      <c r="CJ17" s="130">
        <f t="shared" si="1"/>
        <v>84</v>
      </c>
      <c r="CK17" s="130">
        <f t="shared" si="1"/>
        <v>84</v>
      </c>
      <c r="CL17" s="129">
        <f>AP17</f>
        <v>70</v>
      </c>
      <c r="CM17" s="129">
        <f t="shared" ref="CM17:CS17" si="2">AQ17</f>
        <v>70</v>
      </c>
      <c r="CN17" s="129">
        <f t="shared" si="2"/>
        <v>70</v>
      </c>
      <c r="CO17" s="129">
        <f t="shared" si="2"/>
        <v>70</v>
      </c>
      <c r="CP17" s="129">
        <f t="shared" si="2"/>
        <v>70</v>
      </c>
      <c r="CQ17" s="129">
        <f t="shared" si="2"/>
        <v>70</v>
      </c>
      <c r="CR17" s="129">
        <f t="shared" si="2"/>
        <v>70</v>
      </c>
      <c r="CS17" s="129">
        <f t="shared" si="2"/>
        <v>70</v>
      </c>
    </row>
    <row r="18" spans="1:97">
      <c r="A18" t="s">
        <v>0</v>
      </c>
      <c r="B18" s="238" t="s">
        <v>199</v>
      </c>
      <c r="C18" s="238" t="s">
        <v>199</v>
      </c>
      <c r="D18" s="238" t="s">
        <v>199</v>
      </c>
      <c r="E18" s="238" t="s">
        <v>199</v>
      </c>
      <c r="F18" s="238" t="s">
        <v>199</v>
      </c>
      <c r="G18" s="238" t="s">
        <v>199</v>
      </c>
      <c r="H18" s="238" t="s">
        <v>199</v>
      </c>
      <c r="I18" s="238" t="s">
        <v>199</v>
      </c>
      <c r="J18" s="238" t="s">
        <v>199</v>
      </c>
      <c r="K18" s="238" t="s">
        <v>199</v>
      </c>
      <c r="L18" s="238" t="s">
        <v>199</v>
      </c>
      <c r="M18" s="238" t="s">
        <v>199</v>
      </c>
      <c r="N18" s="238" t="s">
        <v>199</v>
      </c>
      <c r="O18" s="238" t="s">
        <v>199</v>
      </c>
      <c r="P18" s="238" t="s">
        <v>199</v>
      </c>
      <c r="Q18" s="238" t="s">
        <v>199</v>
      </c>
      <c r="R18" s="238" t="s">
        <v>199</v>
      </c>
      <c r="S18" s="238" t="s">
        <v>199</v>
      </c>
      <c r="T18" s="238" t="s">
        <v>199</v>
      </c>
      <c r="U18" s="238" t="s">
        <v>199</v>
      </c>
      <c r="V18" s="238" t="s">
        <v>199</v>
      </c>
      <c r="W18" s="238" t="s">
        <v>199</v>
      </c>
      <c r="X18" s="238" t="s">
        <v>199</v>
      </c>
      <c r="Y18" s="238" t="s">
        <v>199</v>
      </c>
      <c r="Z18" s="238" t="s">
        <v>199</v>
      </c>
      <c r="AA18" s="238" t="s">
        <v>199</v>
      </c>
      <c r="AB18" s="238" t="s">
        <v>199</v>
      </c>
      <c r="AC18" s="238" t="s">
        <v>199</v>
      </c>
      <c r="AD18" s="238" t="s">
        <v>199</v>
      </c>
      <c r="AE18" s="238" t="s">
        <v>199</v>
      </c>
      <c r="AF18" s="238" t="s">
        <v>199</v>
      </c>
      <c r="AG18" s="238" t="s">
        <v>199</v>
      </c>
      <c r="AH18" s="238" t="s">
        <v>199</v>
      </c>
      <c r="AI18" s="238" t="s">
        <v>199</v>
      </c>
      <c r="AJ18" s="238" t="s">
        <v>199</v>
      </c>
      <c r="AK18" s="238" t="s">
        <v>199</v>
      </c>
      <c r="AL18" s="238" t="s">
        <v>199</v>
      </c>
      <c r="AM18" s="238" t="s">
        <v>199</v>
      </c>
      <c r="AN18" s="238" t="s">
        <v>199</v>
      </c>
      <c r="AO18" s="238" t="s">
        <v>199</v>
      </c>
      <c r="AP18" s="238" t="s">
        <v>199</v>
      </c>
      <c r="AQ18" s="238" t="s">
        <v>199</v>
      </c>
      <c r="AR18" s="238" t="s">
        <v>199</v>
      </c>
      <c r="AS18" s="238" t="s">
        <v>199</v>
      </c>
      <c r="AT18" s="238" t="s">
        <v>199</v>
      </c>
      <c r="AU18" s="238" t="s">
        <v>199</v>
      </c>
      <c r="AV18" s="238" t="s">
        <v>199</v>
      </c>
      <c r="AW18" s="238" t="s">
        <v>199</v>
      </c>
      <c r="AX18" s="238" t="s">
        <v>199</v>
      </c>
      <c r="AY18" s="238" t="s">
        <v>199</v>
      </c>
      <c r="AZ18" s="238" t="s">
        <v>199</v>
      </c>
      <c r="BA18" s="238" t="s">
        <v>199</v>
      </c>
      <c r="BB18" s="238" t="s">
        <v>199</v>
      </c>
      <c r="BC18" s="238" t="s">
        <v>199</v>
      </c>
      <c r="BD18" s="238" t="s">
        <v>199</v>
      </c>
      <c r="BE18" s="238" t="s">
        <v>199</v>
      </c>
      <c r="BF18" s="238" t="s">
        <v>199</v>
      </c>
      <c r="BG18" s="238" t="s">
        <v>199</v>
      </c>
      <c r="BH18" s="238" t="s">
        <v>199</v>
      </c>
      <c r="BI18" s="238" t="s">
        <v>199</v>
      </c>
      <c r="BJ18" s="238" t="s">
        <v>199</v>
      </c>
      <c r="BK18" s="238" t="s">
        <v>199</v>
      </c>
      <c r="BL18" s="238" t="s">
        <v>199</v>
      </c>
      <c r="BM18" s="238" t="s">
        <v>199</v>
      </c>
      <c r="BN18" s="238" t="s">
        <v>199</v>
      </c>
      <c r="BO18" s="238" t="s">
        <v>199</v>
      </c>
      <c r="BP18" s="238" t="s">
        <v>199</v>
      </c>
      <c r="BQ18" s="238" t="s">
        <v>199</v>
      </c>
      <c r="BR18" s="238" t="s">
        <v>199</v>
      </c>
      <c r="BS18" s="238" t="s">
        <v>199</v>
      </c>
      <c r="BT18" s="238" t="s">
        <v>199</v>
      </c>
      <c r="BU18" s="238" t="s">
        <v>199</v>
      </c>
      <c r="BV18" s="238" t="s">
        <v>199</v>
      </c>
      <c r="BW18" s="238" t="s">
        <v>199</v>
      </c>
      <c r="BX18" s="238" t="s">
        <v>199</v>
      </c>
      <c r="BY18" s="238" t="s">
        <v>199</v>
      </c>
      <c r="BZ18" s="238" t="s">
        <v>199</v>
      </c>
      <c r="CA18" s="238" t="s">
        <v>199</v>
      </c>
      <c r="CB18" s="238" t="s">
        <v>199</v>
      </c>
      <c r="CC18" s="238" t="s">
        <v>199</v>
      </c>
      <c r="CD18" s="238" t="s">
        <v>199</v>
      </c>
      <c r="CE18" s="238" t="s">
        <v>199</v>
      </c>
      <c r="CF18" s="238" t="s">
        <v>199</v>
      </c>
      <c r="CG18" s="238" t="s">
        <v>199</v>
      </c>
      <c r="CH18" s="238" t="s">
        <v>199</v>
      </c>
      <c r="CI18" s="238" t="s">
        <v>199</v>
      </c>
      <c r="CJ18" s="238" t="s">
        <v>199</v>
      </c>
      <c r="CK18" s="238" t="s">
        <v>199</v>
      </c>
      <c r="CL18" s="238" t="s">
        <v>199</v>
      </c>
      <c r="CM18" s="238" t="s">
        <v>199</v>
      </c>
      <c r="CN18" s="238" t="s">
        <v>199</v>
      </c>
      <c r="CO18" s="238" t="s">
        <v>199</v>
      </c>
      <c r="CP18" s="238" t="s">
        <v>199</v>
      </c>
      <c r="CQ18" s="238" t="s">
        <v>199</v>
      </c>
      <c r="CR18" s="238" t="s">
        <v>199</v>
      </c>
      <c r="CS18" s="238" t="s">
        <v>199</v>
      </c>
    </row>
    <row r="19" spans="1:97">
      <c r="A19" t="s">
        <v>4</v>
      </c>
      <c r="B19" s="239">
        <f>ROUND($B$5*B17%,0)</f>
        <v>105901</v>
      </c>
      <c r="C19" s="239">
        <f t="shared" ref="C19:AJ19" si="3">ROUND($B$5*C17%,0)</f>
        <v>105901</v>
      </c>
      <c r="D19" s="239">
        <f t="shared" si="3"/>
        <v>105901</v>
      </c>
      <c r="E19" s="239">
        <f t="shared" ref="E19:F19" si="4">ROUND($B$5*E17%,0)</f>
        <v>105901</v>
      </c>
      <c r="F19" s="239">
        <f t="shared" si="4"/>
        <v>105901</v>
      </c>
      <c r="G19" s="239">
        <f t="shared" ref="G19:H19" si="5">ROUND($B$5*G17%,0)</f>
        <v>105901</v>
      </c>
      <c r="H19" s="239">
        <f t="shared" si="5"/>
        <v>105901</v>
      </c>
      <c r="I19" s="239">
        <f t="shared" ref="I19" si="6">ROUND($B$5*I17%,0)</f>
        <v>105901</v>
      </c>
      <c r="J19" s="239">
        <f t="shared" si="3"/>
        <v>98171</v>
      </c>
      <c r="K19" s="239">
        <f t="shared" si="3"/>
        <v>98171</v>
      </c>
      <c r="L19" s="239">
        <f t="shared" si="3"/>
        <v>98171</v>
      </c>
      <c r="M19" s="239">
        <f t="shared" ref="M19:N19" si="7">ROUND($B$5*M17%,0)</f>
        <v>98171</v>
      </c>
      <c r="N19" s="239">
        <f t="shared" si="7"/>
        <v>98171</v>
      </c>
      <c r="O19" s="239">
        <f t="shared" ref="O19:P19" si="8">ROUND($B$5*O17%,0)</f>
        <v>98171</v>
      </c>
      <c r="P19" s="239">
        <f t="shared" si="8"/>
        <v>98171</v>
      </c>
      <c r="Q19" s="239">
        <f t="shared" ref="Q19" si="9">ROUND($B$5*Q17%,0)</f>
        <v>98171</v>
      </c>
      <c r="R19" s="239">
        <f t="shared" si="3"/>
        <v>96625</v>
      </c>
      <c r="S19" s="239">
        <f t="shared" si="3"/>
        <v>96625</v>
      </c>
      <c r="T19" s="239">
        <f t="shared" si="3"/>
        <v>96625</v>
      </c>
      <c r="U19" s="239">
        <f t="shared" ref="U19:V19" si="10">ROUND($B$5*U17%,0)</f>
        <v>96625</v>
      </c>
      <c r="V19" s="239">
        <f t="shared" si="10"/>
        <v>96625</v>
      </c>
      <c r="W19" s="239">
        <f t="shared" ref="W19:X19" si="11">ROUND($B$5*W17%,0)</f>
        <v>96625</v>
      </c>
      <c r="X19" s="239">
        <f t="shared" si="11"/>
        <v>96625</v>
      </c>
      <c r="Y19" s="239">
        <f t="shared" ref="Y19" si="12">ROUND($B$5*Y17%,0)</f>
        <v>96625</v>
      </c>
      <c r="Z19" s="239">
        <f t="shared" si="3"/>
        <v>65705</v>
      </c>
      <c r="AA19" s="239">
        <f t="shared" si="3"/>
        <v>65705</v>
      </c>
      <c r="AB19" s="239">
        <f t="shared" si="3"/>
        <v>65705</v>
      </c>
      <c r="AC19" s="239">
        <f t="shared" ref="AC19:AD19" si="13">ROUND($B$5*AC17%,0)</f>
        <v>65705</v>
      </c>
      <c r="AD19" s="239">
        <f t="shared" si="13"/>
        <v>65705</v>
      </c>
      <c r="AE19" s="239">
        <f t="shared" ref="AE19:AF19" si="14">ROUND($B$5*AE17%,0)</f>
        <v>65705</v>
      </c>
      <c r="AF19" s="239">
        <f t="shared" si="14"/>
        <v>65705</v>
      </c>
      <c r="AG19" s="239">
        <f t="shared" ref="AG19" si="15">ROUND($B$5*AG17%,0)</f>
        <v>65705</v>
      </c>
      <c r="AH19" s="239">
        <f t="shared" si="3"/>
        <v>64932</v>
      </c>
      <c r="AI19" s="239">
        <f t="shared" si="3"/>
        <v>64932</v>
      </c>
      <c r="AJ19" s="239">
        <f t="shared" si="3"/>
        <v>64932</v>
      </c>
      <c r="AK19" s="239">
        <f t="shared" ref="AK19:AL19" si="16">ROUND($B$5*AK17%,0)</f>
        <v>64932</v>
      </c>
      <c r="AL19" s="239">
        <f t="shared" si="16"/>
        <v>64932</v>
      </c>
      <c r="AM19" s="239">
        <f t="shared" ref="AM19:AN19" si="17">ROUND($B$5*AM17%,0)</f>
        <v>64932</v>
      </c>
      <c r="AN19" s="239">
        <f t="shared" si="17"/>
        <v>64932</v>
      </c>
      <c r="AO19" s="239">
        <f t="shared" ref="AO19" si="18">ROUND($B$5*AO17%,0)</f>
        <v>64932</v>
      </c>
      <c r="AP19" s="240">
        <f t="shared" ref="AP19:AR19" si="19">IF(AP17&lt;&gt;0,ROUND($B$5*AP17%,0),500)</f>
        <v>54110</v>
      </c>
      <c r="AQ19" s="240">
        <f t="shared" si="19"/>
        <v>54110</v>
      </c>
      <c r="AR19" s="240">
        <f t="shared" si="19"/>
        <v>54110</v>
      </c>
      <c r="AS19" s="240">
        <f t="shared" ref="AS19:AT19" si="20">IF(AS17&lt;&gt;0,ROUND($B$5*AS17%,0),500)</f>
        <v>54110</v>
      </c>
      <c r="AT19" s="240">
        <f t="shared" si="20"/>
        <v>54110</v>
      </c>
      <c r="AU19" s="240">
        <f t="shared" ref="AU19:AV19" si="21">IF(AU17&lt;&gt;0,ROUND($B$5*AU17%,0),500)</f>
        <v>54110</v>
      </c>
      <c r="AV19" s="240">
        <f t="shared" si="21"/>
        <v>54110</v>
      </c>
      <c r="AW19" s="240">
        <f t="shared" ref="AW19" si="22">IF(AW17&lt;&gt;0,ROUND($B$5*AW17%,0),500)</f>
        <v>54110</v>
      </c>
      <c r="AX19" s="239">
        <f>ROUND($B$5*AX17%,0)</f>
        <v>105901</v>
      </c>
      <c r="AY19" s="239">
        <f t="shared" ref="AY19:CI19" si="23">ROUND($B$5*AY17%,0)</f>
        <v>105901</v>
      </c>
      <c r="AZ19" s="239">
        <f t="shared" si="23"/>
        <v>105901</v>
      </c>
      <c r="BA19" s="239">
        <f t="shared" si="23"/>
        <v>105901</v>
      </c>
      <c r="BB19" s="239">
        <f t="shared" si="23"/>
        <v>105901</v>
      </c>
      <c r="BC19" s="239">
        <f t="shared" si="23"/>
        <v>105901</v>
      </c>
      <c r="BD19" s="239">
        <f t="shared" ref="BD19:BE19" si="24">ROUND($B$5*BD17%,0)</f>
        <v>105901</v>
      </c>
      <c r="BE19" s="239">
        <f t="shared" si="24"/>
        <v>105901</v>
      </c>
      <c r="BF19" s="239">
        <f t="shared" si="23"/>
        <v>98171</v>
      </c>
      <c r="BG19" s="239">
        <f t="shared" si="23"/>
        <v>98171</v>
      </c>
      <c r="BH19" s="239">
        <f t="shared" si="23"/>
        <v>98171</v>
      </c>
      <c r="BI19" s="239">
        <f t="shared" si="23"/>
        <v>98171</v>
      </c>
      <c r="BJ19" s="239">
        <f t="shared" si="23"/>
        <v>98171</v>
      </c>
      <c r="BK19" s="239">
        <f t="shared" si="23"/>
        <v>98171</v>
      </c>
      <c r="BL19" s="239">
        <f t="shared" ref="BL19:BM19" si="25">ROUND($B$5*BL17%,0)</f>
        <v>98171</v>
      </c>
      <c r="BM19" s="239">
        <f t="shared" si="25"/>
        <v>98171</v>
      </c>
      <c r="BN19" s="239">
        <f t="shared" si="23"/>
        <v>96625</v>
      </c>
      <c r="BO19" s="239">
        <f t="shared" si="23"/>
        <v>96625</v>
      </c>
      <c r="BP19" s="239">
        <f t="shared" si="23"/>
        <v>96625</v>
      </c>
      <c r="BQ19" s="239">
        <f t="shared" si="23"/>
        <v>96625</v>
      </c>
      <c r="BR19" s="239">
        <f t="shared" si="23"/>
        <v>96625</v>
      </c>
      <c r="BS19" s="239">
        <f t="shared" si="23"/>
        <v>96625</v>
      </c>
      <c r="BT19" s="239">
        <f t="shared" ref="BT19:BU19" si="26">ROUND($B$5*BT17%,0)</f>
        <v>96625</v>
      </c>
      <c r="BU19" s="239">
        <f t="shared" si="26"/>
        <v>96625</v>
      </c>
      <c r="BV19" s="239">
        <f t="shared" si="23"/>
        <v>65705</v>
      </c>
      <c r="BW19" s="239">
        <f t="shared" si="23"/>
        <v>65705</v>
      </c>
      <c r="BX19" s="239">
        <f t="shared" si="23"/>
        <v>65705</v>
      </c>
      <c r="BY19" s="239">
        <f t="shared" si="23"/>
        <v>65705</v>
      </c>
      <c r="BZ19" s="239">
        <f t="shared" si="23"/>
        <v>65705</v>
      </c>
      <c r="CA19" s="239">
        <f t="shared" si="23"/>
        <v>65705</v>
      </c>
      <c r="CB19" s="239">
        <f t="shared" ref="CB19:CC19" si="27">ROUND($B$5*CB17%,0)</f>
        <v>65705</v>
      </c>
      <c r="CC19" s="239">
        <f t="shared" si="27"/>
        <v>65705</v>
      </c>
      <c r="CD19" s="239">
        <f t="shared" si="23"/>
        <v>64932</v>
      </c>
      <c r="CE19" s="239">
        <f t="shared" si="23"/>
        <v>64932</v>
      </c>
      <c r="CF19" s="239">
        <f t="shared" si="23"/>
        <v>64932</v>
      </c>
      <c r="CG19" s="239">
        <f t="shared" si="23"/>
        <v>64932</v>
      </c>
      <c r="CH19" s="239">
        <f t="shared" si="23"/>
        <v>64932</v>
      </c>
      <c r="CI19" s="239">
        <f t="shared" si="23"/>
        <v>64932</v>
      </c>
      <c r="CJ19" s="239">
        <f t="shared" ref="CJ19:CK19" si="28">ROUND($B$5*CJ17%,0)</f>
        <v>64932</v>
      </c>
      <c r="CK19" s="239">
        <f t="shared" si="28"/>
        <v>64932</v>
      </c>
      <c r="CL19" s="240">
        <f t="shared" ref="CL19:CQ19" si="29">IF(CL17&lt;&gt;0,ROUND($B$5*CL17%,0),500)</f>
        <v>54110</v>
      </c>
      <c r="CM19" s="240">
        <f t="shared" si="29"/>
        <v>54110</v>
      </c>
      <c r="CN19" s="240">
        <f t="shared" si="29"/>
        <v>54110</v>
      </c>
      <c r="CO19" s="240">
        <f t="shared" si="29"/>
        <v>54110</v>
      </c>
      <c r="CP19" s="240">
        <f t="shared" si="29"/>
        <v>54110</v>
      </c>
      <c r="CQ19" s="240">
        <f t="shared" si="29"/>
        <v>54110</v>
      </c>
      <c r="CR19" s="240">
        <f t="shared" ref="CR19:CS19" si="30">IF(CR17&lt;&gt;0,ROUND($B$5*CR17%,0),500)</f>
        <v>54110</v>
      </c>
      <c r="CS19" s="240">
        <f t="shared" si="30"/>
        <v>54110</v>
      </c>
    </row>
    <row r="20" spans="1:97">
      <c r="A20" t="s">
        <v>5</v>
      </c>
      <c r="B20" s="241">
        <f>IF('Summary Sheet'!C12&lt;&gt;"NA",'Summary Sheet'!C12,MAX('Summary Sheet'!$C$12:$J$12))</f>
        <v>47514</v>
      </c>
      <c r="C20" s="241">
        <f>IF('Summary Sheet'!D12&lt;&gt;"NA",'Summary Sheet'!D12,MAX('Summary Sheet'!$C$12:$J$12))</f>
        <v>47598</v>
      </c>
      <c r="D20" s="241">
        <f>IF('Summary Sheet'!E12&lt;&gt;"NA",'Summary Sheet'!E12,MAX('Summary Sheet'!$C$12:$J$12))</f>
        <v>47689</v>
      </c>
      <c r="E20" s="241">
        <f>IF('Summary Sheet'!F12&lt;&gt;"NA",'Summary Sheet'!F12,MAX('Summary Sheet'!$C$12:$J$12))</f>
        <v>47787</v>
      </c>
      <c r="F20" s="241">
        <f>IF('Summary Sheet'!G12&lt;&gt;"NA",'Summary Sheet'!G12,MAX('Summary Sheet'!$C$12:$J$12))</f>
        <v>47878</v>
      </c>
      <c r="G20" s="241">
        <f>IF('Summary Sheet'!H12&lt;&gt;"NA",'Summary Sheet'!H12,MAX('Summary Sheet'!$C$12:$J$12))</f>
        <v>47962</v>
      </c>
      <c r="H20" s="241">
        <f>IF('Summary Sheet'!I12&lt;&gt;"NA",'Summary Sheet'!I12,MAX('Summary Sheet'!$C$12:$J$12))</f>
        <v>47962</v>
      </c>
      <c r="I20" s="241">
        <f>IF('Summary Sheet'!J12&lt;&gt;"NA",'Summary Sheet'!J12,MAX('Summary Sheet'!$C$12:$J$12))</f>
        <v>47962</v>
      </c>
      <c r="J20" s="241">
        <f t="shared" ref="J20:AW20" si="31">B20</f>
        <v>47514</v>
      </c>
      <c r="K20" s="241">
        <f t="shared" si="31"/>
        <v>47598</v>
      </c>
      <c r="L20" s="241">
        <f t="shared" si="31"/>
        <v>47689</v>
      </c>
      <c r="M20" s="241">
        <f t="shared" si="31"/>
        <v>47787</v>
      </c>
      <c r="N20" s="241">
        <f t="shared" si="31"/>
        <v>47878</v>
      </c>
      <c r="O20" s="241">
        <f t="shared" si="31"/>
        <v>47962</v>
      </c>
      <c r="P20" s="241">
        <f t="shared" si="31"/>
        <v>47962</v>
      </c>
      <c r="Q20" s="241">
        <f t="shared" si="31"/>
        <v>47962</v>
      </c>
      <c r="R20" s="241">
        <f t="shared" si="31"/>
        <v>47514</v>
      </c>
      <c r="S20" s="241">
        <f t="shared" si="31"/>
        <v>47598</v>
      </c>
      <c r="T20" s="241">
        <f t="shared" si="31"/>
        <v>47689</v>
      </c>
      <c r="U20" s="241">
        <f t="shared" si="31"/>
        <v>47787</v>
      </c>
      <c r="V20" s="241">
        <f t="shared" si="31"/>
        <v>47878</v>
      </c>
      <c r="W20" s="241">
        <f t="shared" si="31"/>
        <v>47962</v>
      </c>
      <c r="X20" s="241">
        <f t="shared" si="31"/>
        <v>47962</v>
      </c>
      <c r="Y20" s="241">
        <f t="shared" si="31"/>
        <v>47962</v>
      </c>
      <c r="Z20" s="241">
        <f t="shared" si="31"/>
        <v>47514</v>
      </c>
      <c r="AA20" s="241">
        <f t="shared" si="31"/>
        <v>47598</v>
      </c>
      <c r="AB20" s="241">
        <f t="shared" si="31"/>
        <v>47689</v>
      </c>
      <c r="AC20" s="241">
        <f t="shared" si="31"/>
        <v>47787</v>
      </c>
      <c r="AD20" s="241">
        <f t="shared" si="31"/>
        <v>47878</v>
      </c>
      <c r="AE20" s="241">
        <f t="shared" si="31"/>
        <v>47962</v>
      </c>
      <c r="AF20" s="241">
        <f t="shared" si="31"/>
        <v>47962</v>
      </c>
      <c r="AG20" s="241">
        <f t="shared" si="31"/>
        <v>47962</v>
      </c>
      <c r="AH20" s="241">
        <f t="shared" si="31"/>
        <v>47514</v>
      </c>
      <c r="AI20" s="241">
        <f t="shared" si="31"/>
        <v>47598</v>
      </c>
      <c r="AJ20" s="241">
        <f t="shared" si="31"/>
        <v>47689</v>
      </c>
      <c r="AK20" s="241">
        <f t="shared" si="31"/>
        <v>47787</v>
      </c>
      <c r="AL20" s="241">
        <f t="shared" si="31"/>
        <v>47878</v>
      </c>
      <c r="AM20" s="241">
        <f t="shared" si="31"/>
        <v>47962</v>
      </c>
      <c r="AN20" s="241">
        <f t="shared" si="31"/>
        <v>47962</v>
      </c>
      <c r="AO20" s="241">
        <f t="shared" si="31"/>
        <v>47962</v>
      </c>
      <c r="AP20" s="241">
        <f t="shared" si="31"/>
        <v>47514</v>
      </c>
      <c r="AQ20" s="241">
        <f t="shared" si="31"/>
        <v>47598</v>
      </c>
      <c r="AR20" s="241">
        <f t="shared" si="31"/>
        <v>47689</v>
      </c>
      <c r="AS20" s="241">
        <f t="shared" si="31"/>
        <v>47787</v>
      </c>
      <c r="AT20" s="241">
        <f t="shared" si="31"/>
        <v>47878</v>
      </c>
      <c r="AU20" s="241">
        <f t="shared" si="31"/>
        <v>47962</v>
      </c>
      <c r="AV20" s="241">
        <f t="shared" si="31"/>
        <v>47962</v>
      </c>
      <c r="AW20" s="241">
        <f t="shared" si="31"/>
        <v>47962</v>
      </c>
      <c r="AX20" s="241">
        <f>B20</f>
        <v>47514</v>
      </c>
      <c r="AY20" s="241">
        <f>C20</f>
        <v>47598</v>
      </c>
      <c r="AZ20" s="241">
        <f t="shared" ref="AZ20:CS20" si="32">D20</f>
        <v>47689</v>
      </c>
      <c r="BA20" s="241">
        <f t="shared" si="32"/>
        <v>47787</v>
      </c>
      <c r="BB20" s="241">
        <f t="shared" si="32"/>
        <v>47878</v>
      </c>
      <c r="BC20" s="241">
        <f t="shared" si="32"/>
        <v>47962</v>
      </c>
      <c r="BD20" s="241">
        <f t="shared" si="32"/>
        <v>47962</v>
      </c>
      <c r="BE20" s="241">
        <f t="shared" si="32"/>
        <v>47962</v>
      </c>
      <c r="BF20" s="241">
        <f t="shared" si="32"/>
        <v>47514</v>
      </c>
      <c r="BG20" s="241">
        <f t="shared" si="32"/>
        <v>47598</v>
      </c>
      <c r="BH20" s="241">
        <f t="shared" si="32"/>
        <v>47689</v>
      </c>
      <c r="BI20" s="241">
        <f t="shared" si="32"/>
        <v>47787</v>
      </c>
      <c r="BJ20" s="241">
        <f t="shared" si="32"/>
        <v>47878</v>
      </c>
      <c r="BK20" s="241">
        <f t="shared" si="32"/>
        <v>47962</v>
      </c>
      <c r="BL20" s="241">
        <f t="shared" si="32"/>
        <v>47962</v>
      </c>
      <c r="BM20" s="241">
        <f t="shared" si="32"/>
        <v>47962</v>
      </c>
      <c r="BN20" s="241">
        <f t="shared" si="32"/>
        <v>47514</v>
      </c>
      <c r="BO20" s="241">
        <f t="shared" si="32"/>
        <v>47598</v>
      </c>
      <c r="BP20" s="241">
        <f t="shared" si="32"/>
        <v>47689</v>
      </c>
      <c r="BQ20" s="241">
        <f t="shared" si="32"/>
        <v>47787</v>
      </c>
      <c r="BR20" s="241">
        <f t="shared" si="32"/>
        <v>47878</v>
      </c>
      <c r="BS20" s="241">
        <f t="shared" si="32"/>
        <v>47962</v>
      </c>
      <c r="BT20" s="241">
        <f t="shared" si="32"/>
        <v>47962</v>
      </c>
      <c r="BU20" s="241">
        <f t="shared" si="32"/>
        <v>47962</v>
      </c>
      <c r="BV20" s="241">
        <f t="shared" si="32"/>
        <v>47514</v>
      </c>
      <c r="BW20" s="241">
        <f t="shared" si="32"/>
        <v>47598</v>
      </c>
      <c r="BX20" s="241">
        <f t="shared" si="32"/>
        <v>47689</v>
      </c>
      <c r="BY20" s="241">
        <f t="shared" si="32"/>
        <v>47787</v>
      </c>
      <c r="BZ20" s="241">
        <f t="shared" si="32"/>
        <v>47878</v>
      </c>
      <c r="CA20" s="241">
        <f t="shared" si="32"/>
        <v>47962</v>
      </c>
      <c r="CB20" s="241">
        <f t="shared" si="32"/>
        <v>47962</v>
      </c>
      <c r="CC20" s="241">
        <f t="shared" si="32"/>
        <v>47962</v>
      </c>
      <c r="CD20" s="241">
        <f t="shared" si="32"/>
        <v>47514</v>
      </c>
      <c r="CE20" s="241">
        <f t="shared" si="32"/>
        <v>47598</v>
      </c>
      <c r="CF20" s="241">
        <f t="shared" si="32"/>
        <v>47689</v>
      </c>
      <c r="CG20" s="241">
        <f t="shared" si="32"/>
        <v>47787</v>
      </c>
      <c r="CH20" s="241">
        <f t="shared" si="32"/>
        <v>47878</v>
      </c>
      <c r="CI20" s="241">
        <f t="shared" si="32"/>
        <v>47962</v>
      </c>
      <c r="CJ20" s="241">
        <f t="shared" si="32"/>
        <v>47962</v>
      </c>
      <c r="CK20" s="241">
        <f t="shared" si="32"/>
        <v>47962</v>
      </c>
      <c r="CL20" s="241">
        <f t="shared" si="32"/>
        <v>47514</v>
      </c>
      <c r="CM20" s="241">
        <f t="shared" si="32"/>
        <v>47598</v>
      </c>
      <c r="CN20" s="241">
        <f t="shared" si="32"/>
        <v>47689</v>
      </c>
      <c r="CO20" s="241">
        <f t="shared" si="32"/>
        <v>47787</v>
      </c>
      <c r="CP20" s="241">
        <f t="shared" si="32"/>
        <v>47878</v>
      </c>
      <c r="CQ20" s="241">
        <f t="shared" si="32"/>
        <v>47962</v>
      </c>
      <c r="CR20" s="241">
        <f t="shared" si="32"/>
        <v>47962</v>
      </c>
      <c r="CS20" s="241">
        <f t="shared" si="32"/>
        <v>47962</v>
      </c>
    </row>
    <row r="21" spans="1:97" hidden="1" outlineLevel="1">
      <c r="A21" t="s">
        <v>33</v>
      </c>
      <c r="B21" s="241">
        <f>IF(B20&gt;MarketData!$B$26,INDEX(MarketData!$B$26:$B$64,MATCH(B20,MarketData!$B$26:$B$64)),MarketData!$B$26)</f>
        <v>46021</v>
      </c>
      <c r="C21" s="241">
        <f>IF(C20&gt;MarketData!$B$26,INDEX(MarketData!$B$26:$B$64,MATCH(C20,MarketData!$B$26:$B$64)),MarketData!$B$26)</f>
        <v>46021</v>
      </c>
      <c r="D21" s="241">
        <f>IF(D20&gt;MarketData!$B$26,INDEX(MarketData!$B$26:$B$64,MATCH(D20,MarketData!$B$26:$B$64)),MarketData!$B$26)</f>
        <v>46021</v>
      </c>
      <c r="E21" s="241">
        <f>IF(E20&gt;MarketData!$B$26,INDEX(MarketData!$B$26:$B$64,MATCH(E20,MarketData!$B$26:$B$64)),MarketData!$B$26)</f>
        <v>46021</v>
      </c>
      <c r="F21" s="241">
        <f>IF(F20&gt;MarketData!$B$26,INDEX(MarketData!$B$26:$B$64,MATCH(F20,MarketData!$B$26:$B$64)),MarketData!$B$26)</f>
        <v>46021</v>
      </c>
      <c r="G21" s="241">
        <f>IF(G20&gt;MarketData!$B$26,INDEX(MarketData!$B$26:$B$64,MATCH(G20,MarketData!$B$26:$B$64)),MarketData!$B$26)</f>
        <v>46021</v>
      </c>
      <c r="H21" s="241">
        <f>IF(H20&gt;MarketData!$B$26,INDEX(MarketData!$B$26:$B$64,MATCH(H20,MarketData!$B$26:$B$64)),MarketData!$B$26)</f>
        <v>46021</v>
      </c>
      <c r="I21" s="241">
        <f>IF(I20&gt;MarketData!$B$26,INDEX(MarketData!$B$26:$B$64,MATCH(I20,MarketData!$B$26:$B$64)),MarketData!$B$26)</f>
        <v>46021</v>
      </c>
      <c r="J21" s="241">
        <f>IF(J20&gt;MarketData!$B$26,INDEX(MarketData!$B$26:$B$64,MATCH(J20,MarketData!$B$26:$B$64)),MarketData!$B$26)</f>
        <v>46021</v>
      </c>
      <c r="K21" s="241">
        <f>IF(K20&gt;MarketData!$B$26,INDEX(MarketData!$B$26:$B$64,MATCH(K20,MarketData!$B$26:$B$64)),MarketData!$B$26)</f>
        <v>46021</v>
      </c>
      <c r="L21" s="241">
        <f>IF(L20&gt;MarketData!$B$26,INDEX(MarketData!$B$26:$B$64,MATCH(L20,MarketData!$B$26:$B$64)),MarketData!$B$26)</f>
        <v>46021</v>
      </c>
      <c r="M21" s="241">
        <f>IF(M20&gt;MarketData!$B$26,INDEX(MarketData!$B$26:$B$64,MATCH(M20,MarketData!$B$26:$B$64)),MarketData!$B$26)</f>
        <v>46021</v>
      </c>
      <c r="N21" s="241">
        <f>IF(N20&gt;MarketData!$B$26,INDEX(MarketData!$B$26:$B$64,MATCH(N20,MarketData!$B$26:$B$64)),MarketData!$B$26)</f>
        <v>46021</v>
      </c>
      <c r="O21" s="241">
        <f>IF(O20&gt;MarketData!$B$26,INDEX(MarketData!$B$26:$B$64,MATCH(O20,MarketData!$B$26:$B$64)),MarketData!$B$26)</f>
        <v>46021</v>
      </c>
      <c r="P21" s="241">
        <f>IF(P20&gt;MarketData!$B$26,INDEX(MarketData!$B$26:$B$64,MATCH(P20,MarketData!$B$26:$B$64)),MarketData!$B$26)</f>
        <v>46021</v>
      </c>
      <c r="Q21" s="241">
        <f>IF(Q20&gt;MarketData!$B$26,INDEX(MarketData!$B$26:$B$64,MATCH(Q20,MarketData!$B$26:$B$64)),MarketData!$B$26)</f>
        <v>46021</v>
      </c>
      <c r="R21" s="241">
        <f>IF(R20&gt;MarketData!$B$26,INDEX(MarketData!$B$26:$B$64,MATCH(R20,MarketData!$B$26:$B$64)),MarketData!$B$26)</f>
        <v>46021</v>
      </c>
      <c r="S21" s="241">
        <f>IF(S20&gt;MarketData!$B$26,INDEX(MarketData!$B$26:$B$64,MATCH(S20,MarketData!$B$26:$B$64)),MarketData!$B$26)</f>
        <v>46021</v>
      </c>
      <c r="T21" s="241">
        <f>IF(T20&gt;MarketData!$B$26,INDEX(MarketData!$B$26:$B$64,MATCH(T20,MarketData!$B$26:$B$64)),MarketData!$B$26)</f>
        <v>46021</v>
      </c>
      <c r="U21" s="241">
        <f>IF(U20&gt;MarketData!$B$26,INDEX(MarketData!$B$26:$B$64,MATCH(U20,MarketData!$B$26:$B$64)),MarketData!$B$26)</f>
        <v>46021</v>
      </c>
      <c r="V21" s="241">
        <f>IF(V20&gt;MarketData!$B$26,INDEX(MarketData!$B$26:$B$64,MATCH(V20,MarketData!$B$26:$B$64)),MarketData!$B$26)</f>
        <v>46021</v>
      </c>
      <c r="W21" s="241">
        <f>IF(W20&gt;MarketData!$B$26,INDEX(MarketData!$B$26:$B$64,MATCH(W20,MarketData!$B$26:$B$64)),MarketData!$B$26)</f>
        <v>46021</v>
      </c>
      <c r="X21" s="241">
        <f>IF(X20&gt;MarketData!$B$26,INDEX(MarketData!$B$26:$B$64,MATCH(X20,MarketData!$B$26:$B$64)),MarketData!$B$26)</f>
        <v>46021</v>
      </c>
      <c r="Y21" s="241">
        <f>IF(Y20&gt;MarketData!$B$26,INDEX(MarketData!$B$26:$B$64,MATCH(Y20,MarketData!$B$26:$B$64)),MarketData!$B$26)</f>
        <v>46021</v>
      </c>
      <c r="Z21" s="241">
        <f>IF(Z20&gt;MarketData!$B$26,INDEX(MarketData!$B$26:$B$64,MATCH(Z20,MarketData!$B$26:$B$64)),MarketData!$B$26)</f>
        <v>46021</v>
      </c>
      <c r="AA21" s="241">
        <f>IF(AA20&gt;MarketData!$B$26,INDEX(MarketData!$B$26:$B$64,MATCH(AA20,MarketData!$B$26:$B$64)),MarketData!$B$26)</f>
        <v>46021</v>
      </c>
      <c r="AB21" s="241">
        <f>IF(AB20&gt;MarketData!$B$26,INDEX(MarketData!$B$26:$B$64,MATCH(AB20,MarketData!$B$26:$B$64)),MarketData!$B$26)</f>
        <v>46021</v>
      </c>
      <c r="AC21" s="241">
        <f>IF(AC20&gt;MarketData!$B$26,INDEX(MarketData!$B$26:$B$64,MATCH(AC20,MarketData!$B$26:$B$64)),MarketData!$B$26)</f>
        <v>46021</v>
      </c>
      <c r="AD21" s="241">
        <f>IF(AD20&gt;MarketData!$B$26,INDEX(MarketData!$B$26:$B$64,MATCH(AD20,MarketData!$B$26:$B$64)),MarketData!$B$26)</f>
        <v>46021</v>
      </c>
      <c r="AE21" s="241">
        <f>IF(AE20&gt;MarketData!$B$26,INDEX(MarketData!$B$26:$B$64,MATCH(AE20,MarketData!$B$26:$B$64)),MarketData!$B$26)</f>
        <v>46021</v>
      </c>
      <c r="AF21" s="241">
        <f>IF(AF20&gt;MarketData!$B$26,INDEX(MarketData!$B$26:$B$64,MATCH(AF20,MarketData!$B$26:$B$64)),MarketData!$B$26)</f>
        <v>46021</v>
      </c>
      <c r="AG21" s="241">
        <f>IF(AG20&gt;MarketData!$B$26,INDEX(MarketData!$B$26:$B$64,MATCH(AG20,MarketData!$B$26:$B$64)),MarketData!$B$26)</f>
        <v>46021</v>
      </c>
      <c r="AH21" s="241">
        <f>IF(AH20&gt;MarketData!$B$26,INDEX(MarketData!$B$26:$B$64,MATCH(AH20,MarketData!$B$26:$B$64)),MarketData!$B$26)</f>
        <v>46021</v>
      </c>
      <c r="AI21" s="241">
        <f>IF(AI20&gt;MarketData!$B$26,INDEX(MarketData!$B$26:$B$64,MATCH(AI20,MarketData!$B$26:$B$64)),MarketData!$B$26)</f>
        <v>46021</v>
      </c>
      <c r="AJ21" s="241">
        <f>IF(AJ20&gt;MarketData!$B$26,INDEX(MarketData!$B$26:$B$64,MATCH(AJ20,MarketData!$B$26:$B$64)),MarketData!$B$26)</f>
        <v>46021</v>
      </c>
      <c r="AK21" s="241">
        <f>IF(AK20&gt;MarketData!$B$26,INDEX(MarketData!$B$26:$B$64,MATCH(AK20,MarketData!$B$26:$B$64)),MarketData!$B$26)</f>
        <v>46021</v>
      </c>
      <c r="AL21" s="241">
        <f>IF(AL20&gt;MarketData!$B$26,INDEX(MarketData!$B$26:$B$64,MATCH(AL20,MarketData!$B$26:$B$64)),MarketData!$B$26)</f>
        <v>46021</v>
      </c>
      <c r="AM21" s="241">
        <f>IF(AM20&gt;MarketData!$B$26,INDEX(MarketData!$B$26:$B$64,MATCH(AM20,MarketData!$B$26:$B$64)),MarketData!$B$26)</f>
        <v>46021</v>
      </c>
      <c r="AN21" s="241">
        <f>IF(AN20&gt;MarketData!$B$26,INDEX(MarketData!$B$26:$B$64,MATCH(AN20,MarketData!$B$26:$B$64)),MarketData!$B$26)</f>
        <v>46021</v>
      </c>
      <c r="AO21" s="241">
        <f>IF(AO20&gt;MarketData!$B$26,INDEX(MarketData!$B$26:$B$64,MATCH(AO20,MarketData!$B$26:$B$64)),MarketData!$B$26)</f>
        <v>46021</v>
      </c>
      <c r="AP21" s="241">
        <f>IF(AP20&gt;MarketData!$B$26,INDEX(MarketData!$B$26:$B$64,MATCH(AP20,MarketData!$B$26:$B$64)),MarketData!$B$26)</f>
        <v>46021</v>
      </c>
      <c r="AQ21" s="241">
        <f>IF(AQ20&gt;MarketData!$B$26,INDEX(MarketData!$B$26:$B$64,MATCH(AQ20,MarketData!$B$26:$B$64)),MarketData!$B$26)</f>
        <v>46021</v>
      </c>
      <c r="AR21" s="241">
        <f>IF(AR20&gt;MarketData!$B$26,INDEX(MarketData!$B$26:$B$64,MATCH(AR20,MarketData!$B$26:$B$64)),MarketData!$B$26)</f>
        <v>46021</v>
      </c>
      <c r="AS21" s="241">
        <f>IF(AS20&gt;MarketData!$B$26,INDEX(MarketData!$B$26:$B$64,MATCH(AS20,MarketData!$B$26:$B$64)),MarketData!$B$26)</f>
        <v>46021</v>
      </c>
      <c r="AT21" s="241">
        <f>IF(AT20&gt;MarketData!$B$26,INDEX(MarketData!$B$26:$B$64,MATCH(AT20,MarketData!$B$26:$B$64)),MarketData!$B$26)</f>
        <v>46021</v>
      </c>
      <c r="AU21" s="241">
        <f>IF(AU20&gt;MarketData!$B$26,INDEX(MarketData!$B$26:$B$64,MATCH(AU20,MarketData!$B$26:$B$64)),MarketData!$B$26)</f>
        <v>46021</v>
      </c>
      <c r="AV21" s="241">
        <f>IF(AV20&gt;MarketData!$B$26,INDEX(MarketData!$B$26:$B$64,MATCH(AV20,MarketData!$B$26:$B$64)),MarketData!$B$26)</f>
        <v>46021</v>
      </c>
      <c r="AW21" s="241">
        <f>IF(AW20&gt;MarketData!$B$26,INDEX(MarketData!$B$26:$B$64,MATCH(AW20,MarketData!$B$26:$B$64)),MarketData!$B$26)</f>
        <v>46021</v>
      </c>
      <c r="AX21" s="241">
        <f>IF(AX20&gt;MarketData!$B$26,INDEX(MarketData!$B$26:$B$64,MATCH(AX20,MarketData!$B$26:$B$64)),MarketData!$B$26)</f>
        <v>46021</v>
      </c>
      <c r="AY21" s="241">
        <f>IF(AY20&gt;MarketData!$B$26,INDEX(MarketData!$B$26:$B$64,MATCH(AY20,MarketData!$B$26:$B$64)),MarketData!$B$26)</f>
        <v>46021</v>
      </c>
      <c r="AZ21" s="241">
        <f>IF(AZ20&gt;MarketData!$B$26,INDEX(MarketData!$B$26:$B$64,MATCH(AZ20,MarketData!$B$26:$B$64)),MarketData!$B$26)</f>
        <v>46021</v>
      </c>
      <c r="BA21" s="241">
        <f>IF(BA20&gt;MarketData!$B$26,INDEX(MarketData!$B$26:$B$64,MATCH(BA20,MarketData!$B$26:$B$64)),MarketData!$B$26)</f>
        <v>46021</v>
      </c>
      <c r="BB21" s="241">
        <f>IF(BB20&gt;MarketData!$B$26,INDEX(MarketData!$B$26:$B$64,MATCH(BB20,MarketData!$B$26:$B$64)),MarketData!$B$26)</f>
        <v>46021</v>
      </c>
      <c r="BC21" s="241">
        <f>IF(BC20&gt;MarketData!$B$26,INDEX(MarketData!$B$26:$B$64,MATCH(BC20,MarketData!$B$26:$B$64)),MarketData!$B$26)</f>
        <v>46021</v>
      </c>
      <c r="BD21" s="241">
        <f>IF(BD20&gt;MarketData!$B$26,INDEX(MarketData!$B$26:$B$64,MATCH(BD20,MarketData!$B$26:$B$64)),MarketData!$B$26)</f>
        <v>46021</v>
      </c>
      <c r="BE21" s="241">
        <f>IF(BE20&gt;MarketData!$B$26,INDEX(MarketData!$B$26:$B$64,MATCH(BE20,MarketData!$B$26:$B$64)),MarketData!$B$26)</f>
        <v>46021</v>
      </c>
      <c r="BF21" s="241">
        <f>IF(BF20&gt;MarketData!$B$26,INDEX(MarketData!$B$26:$B$64,MATCH(BF20,MarketData!$B$26:$B$64)),MarketData!$B$26)</f>
        <v>46021</v>
      </c>
      <c r="BG21" s="241">
        <f>IF(BG20&gt;MarketData!$B$26,INDEX(MarketData!$B$26:$B$64,MATCH(BG20,MarketData!$B$26:$B$64)),MarketData!$B$26)</f>
        <v>46021</v>
      </c>
      <c r="BH21" s="241">
        <f>IF(BH20&gt;MarketData!$B$26,INDEX(MarketData!$B$26:$B$64,MATCH(BH20,MarketData!$B$26:$B$64)),MarketData!$B$26)</f>
        <v>46021</v>
      </c>
      <c r="BI21" s="241">
        <f>IF(BI20&gt;MarketData!$B$26,INDEX(MarketData!$B$26:$B$64,MATCH(BI20,MarketData!$B$26:$B$64)),MarketData!$B$26)</f>
        <v>46021</v>
      </c>
      <c r="BJ21" s="241">
        <f>IF(BJ20&gt;MarketData!$B$26,INDEX(MarketData!$B$26:$B$64,MATCH(BJ20,MarketData!$B$26:$B$64)),MarketData!$B$26)</f>
        <v>46021</v>
      </c>
      <c r="BK21" s="241">
        <f>IF(BK20&gt;MarketData!$B$26,INDEX(MarketData!$B$26:$B$64,MATCH(BK20,MarketData!$B$26:$B$64)),MarketData!$B$26)</f>
        <v>46021</v>
      </c>
      <c r="BL21" s="241">
        <f>IF(BL20&gt;MarketData!$B$26,INDEX(MarketData!$B$26:$B$64,MATCH(BL20,MarketData!$B$26:$B$64)),MarketData!$B$26)</f>
        <v>46021</v>
      </c>
      <c r="BM21" s="241">
        <f>IF(BM20&gt;MarketData!$B$26,INDEX(MarketData!$B$26:$B$64,MATCH(BM20,MarketData!$B$26:$B$64)),MarketData!$B$26)</f>
        <v>46021</v>
      </c>
      <c r="BN21" s="241">
        <f>IF(BN20&gt;MarketData!$B$26,INDEX(MarketData!$B$26:$B$64,MATCH(BN20,MarketData!$B$26:$B$64)),MarketData!$B$26)</f>
        <v>46021</v>
      </c>
      <c r="BO21" s="241">
        <f>IF(BO20&gt;MarketData!$B$26,INDEX(MarketData!$B$26:$B$64,MATCH(BO20,MarketData!$B$26:$B$64)),MarketData!$B$26)</f>
        <v>46021</v>
      </c>
      <c r="BP21" s="241">
        <f>IF(BP20&gt;MarketData!$B$26,INDEX(MarketData!$B$26:$B$64,MATCH(BP20,MarketData!$B$26:$B$64)),MarketData!$B$26)</f>
        <v>46021</v>
      </c>
      <c r="BQ21" s="241">
        <f>IF(BQ20&gt;MarketData!$B$26,INDEX(MarketData!$B$26:$B$64,MATCH(BQ20,MarketData!$B$26:$B$64)),MarketData!$B$26)</f>
        <v>46021</v>
      </c>
      <c r="BR21" s="241">
        <f>IF(BR20&gt;MarketData!$B$26,INDEX(MarketData!$B$26:$B$64,MATCH(BR20,MarketData!$B$26:$B$64)),MarketData!$B$26)</f>
        <v>46021</v>
      </c>
      <c r="BS21" s="241">
        <f>IF(BS20&gt;MarketData!$B$26,INDEX(MarketData!$B$26:$B$64,MATCH(BS20,MarketData!$B$26:$B$64)),MarketData!$B$26)</f>
        <v>46021</v>
      </c>
      <c r="BT21" s="241">
        <f>IF(BT20&gt;MarketData!$B$26,INDEX(MarketData!$B$26:$B$64,MATCH(BT20,MarketData!$B$26:$B$64)),MarketData!$B$26)</f>
        <v>46021</v>
      </c>
      <c r="BU21" s="241">
        <f>IF(BU20&gt;MarketData!$B$26,INDEX(MarketData!$B$26:$B$64,MATCH(BU20,MarketData!$B$26:$B$64)),MarketData!$B$26)</f>
        <v>46021</v>
      </c>
      <c r="BV21" s="241">
        <f>IF(BV20&gt;MarketData!$B$26,INDEX(MarketData!$B$26:$B$64,MATCH(BV20,MarketData!$B$26:$B$64)),MarketData!$B$26)</f>
        <v>46021</v>
      </c>
      <c r="BW21" s="241">
        <f>IF(BW20&gt;MarketData!$B$26,INDEX(MarketData!$B$26:$B$64,MATCH(BW20,MarketData!$B$26:$B$64)),MarketData!$B$26)</f>
        <v>46021</v>
      </c>
      <c r="BX21" s="241">
        <f>IF(BX20&gt;MarketData!$B$26,INDEX(MarketData!$B$26:$B$64,MATCH(BX20,MarketData!$B$26:$B$64)),MarketData!$B$26)</f>
        <v>46021</v>
      </c>
      <c r="BY21" s="241">
        <f>IF(BY20&gt;MarketData!$B$26,INDEX(MarketData!$B$26:$B$64,MATCH(BY20,MarketData!$B$26:$B$64)),MarketData!$B$26)</f>
        <v>46021</v>
      </c>
      <c r="BZ21" s="241">
        <f>IF(BZ20&gt;MarketData!$B$26,INDEX(MarketData!$B$26:$B$64,MATCH(BZ20,MarketData!$B$26:$B$64)),MarketData!$B$26)</f>
        <v>46021</v>
      </c>
      <c r="CA21" s="241">
        <f>IF(CA20&gt;MarketData!$B$26,INDEX(MarketData!$B$26:$B$64,MATCH(CA20,MarketData!$B$26:$B$64)),MarketData!$B$26)</f>
        <v>46021</v>
      </c>
      <c r="CB21" s="241">
        <f>IF(CB20&gt;MarketData!$B$26,INDEX(MarketData!$B$26:$B$64,MATCH(CB20,MarketData!$B$26:$B$64)),MarketData!$B$26)</f>
        <v>46021</v>
      </c>
      <c r="CC21" s="241">
        <f>IF(CC20&gt;MarketData!$B$26,INDEX(MarketData!$B$26:$B$64,MATCH(CC20,MarketData!$B$26:$B$64)),MarketData!$B$26)</f>
        <v>46021</v>
      </c>
      <c r="CD21" s="241">
        <f>IF(CD20&gt;MarketData!$B$26,INDEX(MarketData!$B$26:$B$64,MATCH(CD20,MarketData!$B$26:$B$64)),MarketData!$B$26)</f>
        <v>46021</v>
      </c>
      <c r="CE21" s="241">
        <f>IF(CE20&gt;MarketData!$B$26,INDEX(MarketData!$B$26:$B$64,MATCH(CE20,MarketData!$B$26:$B$64)),MarketData!$B$26)</f>
        <v>46021</v>
      </c>
      <c r="CF21" s="241">
        <f>IF(CF20&gt;MarketData!$B$26,INDEX(MarketData!$B$26:$B$64,MATCH(CF20,MarketData!$B$26:$B$64)),MarketData!$B$26)</f>
        <v>46021</v>
      </c>
      <c r="CG21" s="241">
        <f>IF(CG20&gt;MarketData!$B$26,INDEX(MarketData!$B$26:$B$64,MATCH(CG20,MarketData!$B$26:$B$64)),MarketData!$B$26)</f>
        <v>46021</v>
      </c>
      <c r="CH21" s="241">
        <f>IF(CH20&gt;MarketData!$B$26,INDEX(MarketData!$B$26:$B$64,MATCH(CH20,MarketData!$B$26:$B$64)),MarketData!$B$26)</f>
        <v>46021</v>
      </c>
      <c r="CI21" s="241">
        <f>IF(CI20&gt;MarketData!$B$26,INDEX(MarketData!$B$26:$B$64,MATCH(CI20,MarketData!$B$26:$B$64)),MarketData!$B$26)</f>
        <v>46021</v>
      </c>
      <c r="CJ21" s="241">
        <f>IF(CJ20&gt;MarketData!$B$26,INDEX(MarketData!$B$26:$B$64,MATCH(CJ20,MarketData!$B$26:$B$64)),MarketData!$B$26)</f>
        <v>46021</v>
      </c>
      <c r="CK21" s="241">
        <f>IF(CK20&gt;MarketData!$B$26,INDEX(MarketData!$B$26:$B$64,MATCH(CK20,MarketData!$B$26:$B$64)),MarketData!$B$26)</f>
        <v>46021</v>
      </c>
      <c r="CL21" s="241">
        <f>IF(CL20&gt;MarketData!$B$26,INDEX(MarketData!$B$26:$B$64,MATCH(CL20,MarketData!$B$26:$B$64)),MarketData!$B$26)</f>
        <v>46021</v>
      </c>
      <c r="CM21" s="241">
        <f>IF(CM20&gt;MarketData!$B$26,INDEX(MarketData!$B$26:$B$64,MATCH(CM20,MarketData!$B$26:$B$64)),MarketData!$B$26)</f>
        <v>46021</v>
      </c>
      <c r="CN21" s="241">
        <f>IF(CN20&gt;MarketData!$B$26,INDEX(MarketData!$B$26:$B$64,MATCH(CN20,MarketData!$B$26:$B$64)),MarketData!$B$26)</f>
        <v>46021</v>
      </c>
      <c r="CO21" s="241">
        <f>IF(CO20&gt;MarketData!$B$26,INDEX(MarketData!$B$26:$B$64,MATCH(CO20,MarketData!$B$26:$B$64)),MarketData!$B$26)</f>
        <v>46021</v>
      </c>
      <c r="CP21" s="241">
        <f>IF(CP20&gt;MarketData!$B$26,INDEX(MarketData!$B$26:$B$64,MATCH(CP20,MarketData!$B$26:$B$64)),MarketData!$B$26)</f>
        <v>46021</v>
      </c>
      <c r="CQ21" s="241">
        <f>IF(CQ20&gt;MarketData!$B$26,INDEX(MarketData!$B$26:$B$64,MATCH(CQ20,MarketData!$B$26:$B$64)),MarketData!$B$26)</f>
        <v>46021</v>
      </c>
      <c r="CR21" s="241">
        <f>IF(CR20&gt;MarketData!$B$26,INDEX(MarketData!$B$26:$B$64,MATCH(CR20,MarketData!$B$26:$B$64)),MarketData!$B$26)</f>
        <v>46021</v>
      </c>
      <c r="CS21" s="241">
        <f>IF(CS20&gt;MarketData!$B$26,INDEX(MarketData!$B$26:$B$64,MATCH(CS20,MarketData!$B$26:$B$64)),MarketData!$B$26)</f>
        <v>46021</v>
      </c>
    </row>
    <row r="22" spans="1:97" hidden="1" outlineLevel="1">
      <c r="A22" t="s">
        <v>34</v>
      </c>
      <c r="B22" s="241">
        <f>IF(B21&gt;MarketData!$B$26,INDEX(MarketData!$B$26:$B$64,MATCH(B21,MarketData!$B$26:$B$64)+1),MarketData!$B$26)</f>
        <v>0</v>
      </c>
      <c r="C22" s="241">
        <f>IF(C21&gt;MarketData!$B$26,INDEX(MarketData!$B$26:$B$64,MATCH(C21,MarketData!$B$26:$B$64)+1),MarketData!$B$26)</f>
        <v>0</v>
      </c>
      <c r="D22" s="241">
        <f>IF(D21&gt;MarketData!$B$26,INDEX(MarketData!$B$26:$B$64,MATCH(D21,MarketData!$B$26:$B$64)+1),MarketData!$B$26)</f>
        <v>0</v>
      </c>
      <c r="E22" s="241">
        <f>IF(E21&gt;MarketData!$B$26,INDEX(MarketData!$B$26:$B$64,MATCH(E21,MarketData!$B$26:$B$64)+1),MarketData!$B$26)</f>
        <v>0</v>
      </c>
      <c r="F22" s="241">
        <f>IF(F21&gt;MarketData!$B$26,INDEX(MarketData!$B$26:$B$64,MATCH(F21,MarketData!$B$26:$B$64)+1),MarketData!$B$26)</f>
        <v>0</v>
      </c>
      <c r="G22" s="241">
        <f>IF(G21&gt;MarketData!$B$26,INDEX(MarketData!$B$26:$B$64,MATCH(G21,MarketData!$B$26:$B$64)+1),MarketData!$B$26)</f>
        <v>0</v>
      </c>
      <c r="H22" s="241">
        <f>IF(H21&gt;MarketData!$B$26,INDEX(MarketData!$B$26:$B$64,MATCH(H21,MarketData!$B$26:$B$64)+1),MarketData!$B$26)</f>
        <v>0</v>
      </c>
      <c r="I22" s="241">
        <f>IF(I21&gt;MarketData!$B$26,INDEX(MarketData!$B$26:$B$64,MATCH(I21,MarketData!$B$26:$B$64)+1),MarketData!$B$26)</f>
        <v>0</v>
      </c>
      <c r="J22" s="241">
        <f>IF(J21&gt;MarketData!$B$26,INDEX(MarketData!$B$26:$B$64,MATCH(J21,MarketData!$B$26:$B$64)+1),MarketData!$B$26)</f>
        <v>0</v>
      </c>
      <c r="K22" s="241">
        <f>IF(K21&gt;MarketData!$B$26,INDEX(MarketData!$B$26:$B$64,MATCH(K21,MarketData!$B$26:$B$64)+1),MarketData!$B$26)</f>
        <v>0</v>
      </c>
      <c r="L22" s="241">
        <f>IF(L21&gt;MarketData!$B$26,INDEX(MarketData!$B$26:$B$64,MATCH(L21,MarketData!$B$26:$B$64)+1),MarketData!$B$26)</f>
        <v>0</v>
      </c>
      <c r="M22" s="241">
        <f>IF(M21&gt;MarketData!$B$26,INDEX(MarketData!$B$26:$B$64,MATCH(M21,MarketData!$B$26:$B$64)+1),MarketData!$B$26)</f>
        <v>0</v>
      </c>
      <c r="N22" s="241">
        <f>IF(N21&gt;MarketData!$B$26,INDEX(MarketData!$B$26:$B$64,MATCH(N21,MarketData!$B$26:$B$64)+1),MarketData!$B$26)</f>
        <v>0</v>
      </c>
      <c r="O22" s="241">
        <f>IF(O21&gt;MarketData!$B$26,INDEX(MarketData!$B$26:$B$64,MATCH(O21,MarketData!$B$26:$B$64)+1),MarketData!$B$26)</f>
        <v>0</v>
      </c>
      <c r="P22" s="241">
        <f>IF(P21&gt;MarketData!$B$26,INDEX(MarketData!$B$26:$B$64,MATCH(P21,MarketData!$B$26:$B$64)+1),MarketData!$B$26)</f>
        <v>0</v>
      </c>
      <c r="Q22" s="241">
        <f>IF(Q21&gt;MarketData!$B$26,INDEX(MarketData!$B$26:$B$64,MATCH(Q21,MarketData!$B$26:$B$64)+1),MarketData!$B$26)</f>
        <v>0</v>
      </c>
      <c r="R22" s="241">
        <f>IF(R21&gt;MarketData!$B$26,INDEX(MarketData!$B$26:$B$64,MATCH(R21,MarketData!$B$26:$B$64)+1),MarketData!$B$26)</f>
        <v>0</v>
      </c>
      <c r="S22" s="241">
        <f>IF(S21&gt;MarketData!$B$26,INDEX(MarketData!$B$26:$B$64,MATCH(S21,MarketData!$B$26:$B$64)+1),MarketData!$B$26)</f>
        <v>0</v>
      </c>
      <c r="T22" s="241">
        <f>IF(T21&gt;MarketData!$B$26,INDEX(MarketData!$B$26:$B$64,MATCH(T21,MarketData!$B$26:$B$64)+1),MarketData!$B$26)</f>
        <v>0</v>
      </c>
      <c r="U22" s="241">
        <f>IF(U21&gt;MarketData!$B$26,INDEX(MarketData!$B$26:$B$64,MATCH(U21,MarketData!$B$26:$B$64)+1),MarketData!$B$26)</f>
        <v>0</v>
      </c>
      <c r="V22" s="241">
        <f>IF(V21&gt;MarketData!$B$26,INDEX(MarketData!$B$26:$B$64,MATCH(V21,MarketData!$B$26:$B$64)+1),MarketData!$B$26)</f>
        <v>0</v>
      </c>
      <c r="W22" s="241">
        <f>IF(W21&gt;MarketData!$B$26,INDEX(MarketData!$B$26:$B$64,MATCH(W21,MarketData!$B$26:$B$64)+1),MarketData!$B$26)</f>
        <v>0</v>
      </c>
      <c r="X22" s="241">
        <f>IF(X21&gt;MarketData!$B$26,INDEX(MarketData!$B$26:$B$64,MATCH(X21,MarketData!$B$26:$B$64)+1),MarketData!$B$26)</f>
        <v>0</v>
      </c>
      <c r="Y22" s="241">
        <f>IF(Y21&gt;MarketData!$B$26,INDEX(MarketData!$B$26:$B$64,MATCH(Y21,MarketData!$B$26:$B$64)+1),MarketData!$B$26)</f>
        <v>0</v>
      </c>
      <c r="Z22" s="241">
        <f>IF(Z21&gt;MarketData!$B$26,INDEX(MarketData!$B$26:$B$64,MATCH(Z21,MarketData!$B$26:$B$64)+1),MarketData!$B$26)</f>
        <v>0</v>
      </c>
      <c r="AA22" s="241">
        <f>IF(AA21&gt;MarketData!$B$26,INDEX(MarketData!$B$26:$B$64,MATCH(AA21,MarketData!$B$26:$B$64)+1),MarketData!$B$26)</f>
        <v>0</v>
      </c>
      <c r="AB22" s="241">
        <f>IF(AB21&gt;MarketData!$B$26,INDEX(MarketData!$B$26:$B$64,MATCH(AB21,MarketData!$B$26:$B$64)+1),MarketData!$B$26)</f>
        <v>0</v>
      </c>
      <c r="AC22" s="241">
        <f>IF(AC21&gt;MarketData!$B$26,INDEX(MarketData!$B$26:$B$64,MATCH(AC21,MarketData!$B$26:$B$64)+1),MarketData!$B$26)</f>
        <v>0</v>
      </c>
      <c r="AD22" s="241">
        <f>IF(AD21&gt;MarketData!$B$26,INDEX(MarketData!$B$26:$B$64,MATCH(AD21,MarketData!$B$26:$B$64)+1),MarketData!$B$26)</f>
        <v>0</v>
      </c>
      <c r="AE22" s="241">
        <f>IF(AE21&gt;MarketData!$B$26,INDEX(MarketData!$B$26:$B$64,MATCH(AE21,MarketData!$B$26:$B$64)+1),MarketData!$B$26)</f>
        <v>0</v>
      </c>
      <c r="AF22" s="241">
        <f>IF(AF21&gt;MarketData!$B$26,INDEX(MarketData!$B$26:$B$64,MATCH(AF21,MarketData!$B$26:$B$64)+1),MarketData!$B$26)</f>
        <v>0</v>
      </c>
      <c r="AG22" s="241">
        <f>IF(AG21&gt;MarketData!$B$26,INDEX(MarketData!$B$26:$B$64,MATCH(AG21,MarketData!$B$26:$B$64)+1),MarketData!$B$26)</f>
        <v>0</v>
      </c>
      <c r="AH22" s="241">
        <f>IF(AH21&gt;MarketData!$B$26,INDEX(MarketData!$B$26:$B$64,MATCH(AH21,MarketData!$B$26:$B$64)+1),MarketData!$B$26)</f>
        <v>0</v>
      </c>
      <c r="AI22" s="241">
        <f>IF(AI21&gt;MarketData!$B$26,INDEX(MarketData!$B$26:$B$64,MATCH(AI21,MarketData!$B$26:$B$64)+1),MarketData!$B$26)</f>
        <v>0</v>
      </c>
      <c r="AJ22" s="241">
        <f>IF(AJ21&gt;MarketData!$B$26,INDEX(MarketData!$B$26:$B$64,MATCH(AJ21,MarketData!$B$26:$B$64)+1),MarketData!$B$26)</f>
        <v>0</v>
      </c>
      <c r="AK22" s="241">
        <f>IF(AK21&gt;MarketData!$B$26,INDEX(MarketData!$B$26:$B$64,MATCH(AK21,MarketData!$B$26:$B$64)+1),MarketData!$B$26)</f>
        <v>0</v>
      </c>
      <c r="AL22" s="241">
        <f>IF(AL21&gt;MarketData!$B$26,INDEX(MarketData!$B$26:$B$64,MATCH(AL21,MarketData!$B$26:$B$64)+1),MarketData!$B$26)</f>
        <v>0</v>
      </c>
      <c r="AM22" s="241">
        <f>IF(AM21&gt;MarketData!$B$26,INDEX(MarketData!$B$26:$B$64,MATCH(AM21,MarketData!$B$26:$B$64)+1),MarketData!$B$26)</f>
        <v>0</v>
      </c>
      <c r="AN22" s="241">
        <f>IF(AN21&gt;MarketData!$B$26,INDEX(MarketData!$B$26:$B$64,MATCH(AN21,MarketData!$B$26:$B$64)+1),MarketData!$B$26)</f>
        <v>0</v>
      </c>
      <c r="AO22" s="241">
        <f>IF(AO21&gt;MarketData!$B$26,INDEX(MarketData!$B$26:$B$64,MATCH(AO21,MarketData!$B$26:$B$64)+1),MarketData!$B$26)</f>
        <v>0</v>
      </c>
      <c r="AP22" s="241">
        <f>IF(AP21&gt;MarketData!$B$26,INDEX(MarketData!$B$26:$B$64,MATCH(AP21,MarketData!$B$26:$B$64)+1),MarketData!$B$26)</f>
        <v>0</v>
      </c>
      <c r="AQ22" s="241">
        <f>IF(AQ21&gt;MarketData!$B$26,INDEX(MarketData!$B$26:$B$64,MATCH(AQ21,MarketData!$B$26:$B$64)+1),MarketData!$B$26)</f>
        <v>0</v>
      </c>
      <c r="AR22" s="241">
        <f>IF(AR21&gt;MarketData!$B$26,INDEX(MarketData!$B$26:$B$64,MATCH(AR21,MarketData!$B$26:$B$64)+1),MarketData!$B$26)</f>
        <v>0</v>
      </c>
      <c r="AS22" s="241">
        <f>IF(AS21&gt;MarketData!$B$26,INDEX(MarketData!$B$26:$B$64,MATCH(AS21,MarketData!$B$26:$B$64)+1),MarketData!$B$26)</f>
        <v>0</v>
      </c>
      <c r="AT22" s="241">
        <f>IF(AT21&gt;MarketData!$B$26,INDEX(MarketData!$B$26:$B$64,MATCH(AT21,MarketData!$B$26:$B$64)+1),MarketData!$B$26)</f>
        <v>0</v>
      </c>
      <c r="AU22" s="241">
        <f>IF(AU21&gt;MarketData!$B$26,INDEX(MarketData!$B$26:$B$64,MATCH(AU21,MarketData!$B$26:$B$64)+1),MarketData!$B$26)</f>
        <v>0</v>
      </c>
      <c r="AV22" s="241">
        <f>IF(AV21&gt;MarketData!$B$26,INDEX(MarketData!$B$26:$B$64,MATCH(AV21,MarketData!$B$26:$B$64)+1),MarketData!$B$26)</f>
        <v>0</v>
      </c>
      <c r="AW22" s="241">
        <f>IF(AW21&gt;MarketData!$B$26,INDEX(MarketData!$B$26:$B$64,MATCH(AW21,MarketData!$B$26:$B$64)+1),MarketData!$B$26)</f>
        <v>0</v>
      </c>
      <c r="AX22" s="241">
        <f>IF(AX21&gt;MarketData!$B$26,INDEX(MarketData!$B$26:$B$64,MATCH(AX21,MarketData!$B$26:$B$64)+1),MarketData!$B$26)</f>
        <v>0</v>
      </c>
      <c r="AY22" s="241">
        <f>IF(AY21&gt;MarketData!$B$26,INDEX(MarketData!$B$26:$B$64,MATCH(AY21,MarketData!$B$26:$B$64)+1),MarketData!$B$26)</f>
        <v>0</v>
      </c>
      <c r="AZ22" s="241">
        <f>IF(AZ21&gt;MarketData!$B$26,INDEX(MarketData!$B$26:$B$64,MATCH(AZ21,MarketData!$B$26:$B$64)+1),MarketData!$B$26)</f>
        <v>0</v>
      </c>
      <c r="BA22" s="241">
        <f>IF(BA21&gt;MarketData!$B$26,INDEX(MarketData!$B$26:$B$64,MATCH(BA21,MarketData!$B$26:$B$64)+1),MarketData!$B$26)</f>
        <v>0</v>
      </c>
      <c r="BB22" s="241">
        <f>IF(BB21&gt;MarketData!$B$26,INDEX(MarketData!$B$26:$B$64,MATCH(BB21,MarketData!$B$26:$B$64)+1),MarketData!$B$26)</f>
        <v>0</v>
      </c>
      <c r="BC22" s="241">
        <f>IF(BC21&gt;MarketData!$B$26,INDEX(MarketData!$B$26:$B$64,MATCH(BC21,MarketData!$B$26:$B$64)+1),MarketData!$B$26)</f>
        <v>0</v>
      </c>
      <c r="BD22" s="241">
        <f>IF(BD21&gt;MarketData!$B$26,INDEX(MarketData!$B$26:$B$64,MATCH(BD21,MarketData!$B$26:$B$64)+1),MarketData!$B$26)</f>
        <v>0</v>
      </c>
      <c r="BE22" s="241">
        <f>IF(BE21&gt;MarketData!$B$26,INDEX(MarketData!$B$26:$B$64,MATCH(BE21,MarketData!$B$26:$B$64)+1),MarketData!$B$26)</f>
        <v>0</v>
      </c>
      <c r="BF22" s="241">
        <f>IF(BF21&gt;MarketData!$B$26,INDEX(MarketData!$B$26:$B$64,MATCH(BF21,MarketData!$B$26:$B$64)+1),MarketData!$B$26)</f>
        <v>0</v>
      </c>
      <c r="BG22" s="241">
        <f>IF(BG21&gt;MarketData!$B$26,INDEX(MarketData!$B$26:$B$64,MATCH(BG21,MarketData!$B$26:$B$64)+1),MarketData!$B$26)</f>
        <v>0</v>
      </c>
      <c r="BH22" s="241">
        <f>IF(BH21&gt;MarketData!$B$26,INDEX(MarketData!$B$26:$B$64,MATCH(BH21,MarketData!$B$26:$B$64)+1),MarketData!$B$26)</f>
        <v>0</v>
      </c>
      <c r="BI22" s="241">
        <f>IF(BI21&gt;MarketData!$B$26,INDEX(MarketData!$B$26:$B$64,MATCH(BI21,MarketData!$B$26:$B$64)+1),MarketData!$B$26)</f>
        <v>0</v>
      </c>
      <c r="BJ22" s="241">
        <f>IF(BJ21&gt;MarketData!$B$26,INDEX(MarketData!$B$26:$B$64,MATCH(BJ21,MarketData!$B$26:$B$64)+1),MarketData!$B$26)</f>
        <v>0</v>
      </c>
      <c r="BK22" s="241">
        <f>IF(BK21&gt;MarketData!$B$26,INDEX(MarketData!$B$26:$B$64,MATCH(BK21,MarketData!$B$26:$B$64)+1),MarketData!$B$26)</f>
        <v>0</v>
      </c>
      <c r="BL22" s="241">
        <f>IF(BL21&gt;MarketData!$B$26,INDEX(MarketData!$B$26:$B$64,MATCH(BL21,MarketData!$B$26:$B$64)+1),MarketData!$B$26)</f>
        <v>0</v>
      </c>
      <c r="BM22" s="241">
        <f>IF(BM21&gt;MarketData!$B$26,INDEX(MarketData!$B$26:$B$64,MATCH(BM21,MarketData!$B$26:$B$64)+1),MarketData!$B$26)</f>
        <v>0</v>
      </c>
      <c r="BN22" s="241">
        <f>IF(BN21&gt;MarketData!$B$26,INDEX(MarketData!$B$26:$B$64,MATCH(BN21,MarketData!$B$26:$B$64)+1),MarketData!$B$26)</f>
        <v>0</v>
      </c>
      <c r="BO22" s="241">
        <f>IF(BO21&gt;MarketData!$B$26,INDEX(MarketData!$B$26:$B$64,MATCH(BO21,MarketData!$B$26:$B$64)+1),MarketData!$B$26)</f>
        <v>0</v>
      </c>
      <c r="BP22" s="241">
        <f>IF(BP21&gt;MarketData!$B$26,INDEX(MarketData!$B$26:$B$64,MATCH(BP21,MarketData!$B$26:$B$64)+1),MarketData!$B$26)</f>
        <v>0</v>
      </c>
      <c r="BQ22" s="241">
        <f>IF(BQ21&gt;MarketData!$B$26,INDEX(MarketData!$B$26:$B$64,MATCH(BQ21,MarketData!$B$26:$B$64)+1),MarketData!$B$26)</f>
        <v>0</v>
      </c>
      <c r="BR22" s="241">
        <f>IF(BR21&gt;MarketData!$B$26,INDEX(MarketData!$B$26:$B$64,MATCH(BR21,MarketData!$B$26:$B$64)+1),MarketData!$B$26)</f>
        <v>0</v>
      </c>
      <c r="BS22" s="241">
        <f>IF(BS21&gt;MarketData!$B$26,INDEX(MarketData!$B$26:$B$64,MATCH(BS21,MarketData!$B$26:$B$64)+1),MarketData!$B$26)</f>
        <v>0</v>
      </c>
      <c r="BT22" s="241">
        <f>IF(BT21&gt;MarketData!$B$26,INDEX(MarketData!$B$26:$B$64,MATCH(BT21,MarketData!$B$26:$B$64)+1),MarketData!$B$26)</f>
        <v>0</v>
      </c>
      <c r="BU22" s="241">
        <f>IF(BU21&gt;MarketData!$B$26,INDEX(MarketData!$B$26:$B$64,MATCH(BU21,MarketData!$B$26:$B$64)+1),MarketData!$B$26)</f>
        <v>0</v>
      </c>
      <c r="BV22" s="241">
        <f>IF(BV21&gt;MarketData!$B$26,INDEX(MarketData!$B$26:$B$64,MATCH(BV21,MarketData!$B$26:$B$64)+1),MarketData!$B$26)</f>
        <v>0</v>
      </c>
      <c r="BW22" s="241">
        <f>IF(BW21&gt;MarketData!$B$26,INDEX(MarketData!$B$26:$B$64,MATCH(BW21,MarketData!$B$26:$B$64)+1),MarketData!$B$26)</f>
        <v>0</v>
      </c>
      <c r="BX22" s="241">
        <f>IF(BX21&gt;MarketData!$B$26,INDEX(MarketData!$B$26:$B$64,MATCH(BX21,MarketData!$B$26:$B$64)+1),MarketData!$B$26)</f>
        <v>0</v>
      </c>
      <c r="BY22" s="241">
        <f>IF(BY21&gt;MarketData!$B$26,INDEX(MarketData!$B$26:$B$64,MATCH(BY21,MarketData!$B$26:$B$64)+1),MarketData!$B$26)</f>
        <v>0</v>
      </c>
      <c r="BZ22" s="241">
        <f>IF(BZ21&gt;MarketData!$B$26,INDEX(MarketData!$B$26:$B$64,MATCH(BZ21,MarketData!$B$26:$B$64)+1),MarketData!$B$26)</f>
        <v>0</v>
      </c>
      <c r="CA22" s="241">
        <f>IF(CA21&gt;MarketData!$B$26,INDEX(MarketData!$B$26:$B$64,MATCH(CA21,MarketData!$B$26:$B$64)+1),MarketData!$B$26)</f>
        <v>0</v>
      </c>
      <c r="CB22" s="241">
        <f>IF(CB21&gt;MarketData!$B$26,INDEX(MarketData!$B$26:$B$64,MATCH(CB21,MarketData!$B$26:$B$64)+1),MarketData!$B$26)</f>
        <v>0</v>
      </c>
      <c r="CC22" s="241">
        <f>IF(CC21&gt;MarketData!$B$26,INDEX(MarketData!$B$26:$B$64,MATCH(CC21,MarketData!$B$26:$B$64)+1),MarketData!$B$26)</f>
        <v>0</v>
      </c>
      <c r="CD22" s="241">
        <f>IF(CD21&gt;MarketData!$B$26,INDEX(MarketData!$B$26:$B$64,MATCH(CD21,MarketData!$B$26:$B$64)+1),MarketData!$B$26)</f>
        <v>0</v>
      </c>
      <c r="CE22" s="241">
        <f>IF(CE21&gt;MarketData!$B$26,INDEX(MarketData!$B$26:$B$64,MATCH(CE21,MarketData!$B$26:$B$64)+1),MarketData!$B$26)</f>
        <v>0</v>
      </c>
      <c r="CF22" s="241">
        <f>IF(CF21&gt;MarketData!$B$26,INDEX(MarketData!$B$26:$B$64,MATCH(CF21,MarketData!$B$26:$B$64)+1),MarketData!$B$26)</f>
        <v>0</v>
      </c>
      <c r="CG22" s="241">
        <f>IF(CG21&gt;MarketData!$B$26,INDEX(MarketData!$B$26:$B$64,MATCH(CG21,MarketData!$B$26:$B$64)+1),MarketData!$B$26)</f>
        <v>0</v>
      </c>
      <c r="CH22" s="241">
        <f>IF(CH21&gt;MarketData!$B$26,INDEX(MarketData!$B$26:$B$64,MATCH(CH21,MarketData!$B$26:$B$64)+1),MarketData!$B$26)</f>
        <v>0</v>
      </c>
      <c r="CI22" s="241">
        <f>IF(CI21&gt;MarketData!$B$26,INDEX(MarketData!$B$26:$B$64,MATCH(CI21,MarketData!$B$26:$B$64)+1),MarketData!$B$26)</f>
        <v>0</v>
      </c>
      <c r="CJ22" s="241">
        <f>IF(CJ21&gt;MarketData!$B$26,INDEX(MarketData!$B$26:$B$64,MATCH(CJ21,MarketData!$B$26:$B$64)+1),MarketData!$B$26)</f>
        <v>0</v>
      </c>
      <c r="CK22" s="241">
        <f>IF(CK21&gt;MarketData!$B$26,INDEX(MarketData!$B$26:$B$64,MATCH(CK21,MarketData!$B$26:$B$64)+1),MarketData!$B$26)</f>
        <v>0</v>
      </c>
      <c r="CL22" s="241">
        <f>IF(CL21&gt;MarketData!$B$26,INDEX(MarketData!$B$26:$B$64,MATCH(CL21,MarketData!$B$26:$B$64)+1),MarketData!$B$26)</f>
        <v>0</v>
      </c>
      <c r="CM22" s="241">
        <f>IF(CM21&gt;MarketData!$B$26,INDEX(MarketData!$B$26:$B$64,MATCH(CM21,MarketData!$B$26:$B$64)+1),MarketData!$B$26)</f>
        <v>0</v>
      </c>
      <c r="CN22" s="241">
        <f>IF(CN21&gt;MarketData!$B$26,INDEX(MarketData!$B$26:$B$64,MATCH(CN21,MarketData!$B$26:$B$64)+1),MarketData!$B$26)</f>
        <v>0</v>
      </c>
      <c r="CO22" s="241">
        <f>IF(CO21&gt;MarketData!$B$26,INDEX(MarketData!$B$26:$B$64,MATCH(CO21,MarketData!$B$26:$B$64)+1),MarketData!$B$26)</f>
        <v>0</v>
      </c>
      <c r="CP22" s="241">
        <f>IF(CP21&gt;MarketData!$B$26,INDEX(MarketData!$B$26:$B$64,MATCH(CP21,MarketData!$B$26:$B$64)+1),MarketData!$B$26)</f>
        <v>0</v>
      </c>
      <c r="CQ22" s="241">
        <f>IF(CQ21&gt;MarketData!$B$26,INDEX(MarketData!$B$26:$B$64,MATCH(CQ21,MarketData!$B$26:$B$64)+1),MarketData!$B$26)</f>
        <v>0</v>
      </c>
      <c r="CR22" s="241">
        <f>IF(CR21&gt;MarketData!$B$26,INDEX(MarketData!$B$26:$B$64,MATCH(CR21,MarketData!$B$26:$B$64)+1),MarketData!$B$26)</f>
        <v>0</v>
      </c>
      <c r="CS22" s="241">
        <f>IF(CS21&gt;MarketData!$B$26,INDEX(MarketData!$B$26:$B$64,MATCH(CS21,MarketData!$B$26:$B$64)+1),MarketData!$B$26)</f>
        <v>0</v>
      </c>
    </row>
    <row r="23" spans="1:97" hidden="1" outlineLevel="1">
      <c r="A23" t="s">
        <v>35</v>
      </c>
      <c r="B23" s="242">
        <f>VLOOKUP(B21,MarketData!$B$26:$D$43,3,0)/100</f>
        <v>6.5000000000000002E-2</v>
      </c>
      <c r="C23" s="242">
        <f>VLOOKUP(C21,MarketData!$B$26:$D$43,3,0)/100</f>
        <v>6.5000000000000002E-2</v>
      </c>
      <c r="D23" s="242">
        <f>VLOOKUP(D21,MarketData!$B$26:$D$43,3,0)/100</f>
        <v>6.5000000000000002E-2</v>
      </c>
      <c r="E23" s="242">
        <f>VLOOKUP(E21,MarketData!$B$26:$D$43,3,0)/100</f>
        <v>6.5000000000000002E-2</v>
      </c>
      <c r="F23" s="242">
        <f>VLOOKUP(F21,MarketData!$B$26:$D$43,3,0)/100</f>
        <v>6.5000000000000002E-2</v>
      </c>
      <c r="G23" s="242">
        <f>VLOOKUP(G21,MarketData!$B$26:$D$43,3,0)/100</f>
        <v>6.5000000000000002E-2</v>
      </c>
      <c r="H23" s="242">
        <f>VLOOKUP(H21,MarketData!$B$26:$D$43,3,0)/100</f>
        <v>6.5000000000000002E-2</v>
      </c>
      <c r="I23" s="242">
        <f>VLOOKUP(I21,MarketData!$B$26:$D$43,3,0)/100</f>
        <v>6.5000000000000002E-2</v>
      </c>
      <c r="J23" s="242">
        <f>VLOOKUP(J21,MarketData!$B$26:$D$43,3,0)/100</f>
        <v>6.5000000000000002E-2</v>
      </c>
      <c r="K23" s="242">
        <f>VLOOKUP(K21,MarketData!$B$26:$D$43,3,0)/100</f>
        <v>6.5000000000000002E-2</v>
      </c>
      <c r="L23" s="242">
        <f>VLOOKUP(L21,MarketData!$B$26:$D$43,3,0)/100</f>
        <v>6.5000000000000002E-2</v>
      </c>
      <c r="M23" s="242">
        <f>VLOOKUP(M21,MarketData!$B$26:$D$43,3,0)/100</f>
        <v>6.5000000000000002E-2</v>
      </c>
      <c r="N23" s="242">
        <f>VLOOKUP(N21,MarketData!$B$26:$D$43,3,0)/100</f>
        <v>6.5000000000000002E-2</v>
      </c>
      <c r="O23" s="242">
        <f>VLOOKUP(O21,MarketData!$B$26:$D$43,3,0)/100</f>
        <v>6.5000000000000002E-2</v>
      </c>
      <c r="P23" s="242">
        <f>VLOOKUP(P21,MarketData!$B$26:$D$43,3,0)/100</f>
        <v>6.5000000000000002E-2</v>
      </c>
      <c r="Q23" s="242">
        <f>VLOOKUP(Q21,MarketData!$B$26:$D$43,3,0)/100</f>
        <v>6.5000000000000002E-2</v>
      </c>
      <c r="R23" s="242">
        <f>VLOOKUP(R21,MarketData!$B$26:$D$43,3,0)/100</f>
        <v>6.5000000000000002E-2</v>
      </c>
      <c r="S23" s="242">
        <f>VLOOKUP(S21,MarketData!$B$26:$D$43,3,0)/100</f>
        <v>6.5000000000000002E-2</v>
      </c>
      <c r="T23" s="242">
        <f>VLOOKUP(T21,MarketData!$B$26:$D$43,3,0)/100</f>
        <v>6.5000000000000002E-2</v>
      </c>
      <c r="U23" s="242">
        <f>VLOOKUP(U21,MarketData!$B$26:$D$43,3,0)/100</f>
        <v>6.5000000000000002E-2</v>
      </c>
      <c r="V23" s="242">
        <f>VLOOKUP(V21,MarketData!$B$26:$D$43,3,0)/100</f>
        <v>6.5000000000000002E-2</v>
      </c>
      <c r="W23" s="242">
        <f>VLOOKUP(W21,MarketData!$B$26:$D$43,3,0)/100</f>
        <v>6.5000000000000002E-2</v>
      </c>
      <c r="X23" s="242">
        <f>VLOOKUP(X21,MarketData!$B$26:$D$43,3,0)/100</f>
        <v>6.5000000000000002E-2</v>
      </c>
      <c r="Y23" s="242">
        <f>VLOOKUP(Y21,MarketData!$B$26:$D$43,3,0)/100</f>
        <v>6.5000000000000002E-2</v>
      </c>
      <c r="Z23" s="242">
        <f>VLOOKUP(Z21,MarketData!$B$26:$D$43,3,0)/100</f>
        <v>6.5000000000000002E-2</v>
      </c>
      <c r="AA23" s="242">
        <f>VLOOKUP(AA21,MarketData!$B$26:$D$43,3,0)/100</f>
        <v>6.5000000000000002E-2</v>
      </c>
      <c r="AB23" s="242">
        <f>VLOOKUP(AB21,MarketData!$B$26:$D$43,3,0)/100</f>
        <v>6.5000000000000002E-2</v>
      </c>
      <c r="AC23" s="242">
        <f>VLOOKUP(AC21,MarketData!$B$26:$D$43,3,0)/100</f>
        <v>6.5000000000000002E-2</v>
      </c>
      <c r="AD23" s="242">
        <f>VLOOKUP(AD21,MarketData!$B$26:$D$43,3,0)/100</f>
        <v>6.5000000000000002E-2</v>
      </c>
      <c r="AE23" s="242">
        <f>VLOOKUP(AE21,MarketData!$B$26:$D$43,3,0)/100</f>
        <v>6.5000000000000002E-2</v>
      </c>
      <c r="AF23" s="242">
        <f>VLOOKUP(AF21,MarketData!$B$26:$D$43,3,0)/100</f>
        <v>6.5000000000000002E-2</v>
      </c>
      <c r="AG23" s="242">
        <f>VLOOKUP(AG21,MarketData!$B$26:$D$43,3,0)/100</f>
        <v>6.5000000000000002E-2</v>
      </c>
      <c r="AH23" s="242">
        <f>VLOOKUP(AH21,MarketData!$B$26:$D$43,3,0)/100</f>
        <v>6.5000000000000002E-2</v>
      </c>
      <c r="AI23" s="242">
        <f>VLOOKUP(AI21,MarketData!$B$26:$D$43,3,0)/100</f>
        <v>6.5000000000000002E-2</v>
      </c>
      <c r="AJ23" s="242">
        <f>VLOOKUP(AJ21,MarketData!$B$26:$D$43,3,0)/100</f>
        <v>6.5000000000000002E-2</v>
      </c>
      <c r="AK23" s="242">
        <f>VLOOKUP(AK21,MarketData!$B$26:$D$43,3,0)/100</f>
        <v>6.5000000000000002E-2</v>
      </c>
      <c r="AL23" s="242">
        <f>VLOOKUP(AL21,MarketData!$B$26:$D$43,3,0)/100</f>
        <v>6.5000000000000002E-2</v>
      </c>
      <c r="AM23" s="242">
        <f>VLOOKUP(AM21,MarketData!$B$26:$D$43,3,0)/100</f>
        <v>6.5000000000000002E-2</v>
      </c>
      <c r="AN23" s="242">
        <f>VLOOKUP(AN21,MarketData!$B$26:$D$43,3,0)/100</f>
        <v>6.5000000000000002E-2</v>
      </c>
      <c r="AO23" s="242">
        <f>VLOOKUP(AO21,MarketData!$B$26:$D$43,3,0)/100</f>
        <v>6.5000000000000002E-2</v>
      </c>
      <c r="AP23" s="242">
        <f>VLOOKUP(AP21,MarketData!$B$26:$D$43,3,0)/100</f>
        <v>6.5000000000000002E-2</v>
      </c>
      <c r="AQ23" s="242">
        <f>VLOOKUP(AQ21,MarketData!$B$26:$D$43,3,0)/100</f>
        <v>6.5000000000000002E-2</v>
      </c>
      <c r="AR23" s="242">
        <f>VLOOKUP(AR21,MarketData!$B$26:$D$43,3,0)/100</f>
        <v>6.5000000000000002E-2</v>
      </c>
      <c r="AS23" s="242">
        <f>VLOOKUP(AS21,MarketData!$B$26:$D$43,3,0)/100</f>
        <v>6.5000000000000002E-2</v>
      </c>
      <c r="AT23" s="242">
        <f>VLOOKUP(AT21,MarketData!$B$26:$D$43,3,0)/100</f>
        <v>6.5000000000000002E-2</v>
      </c>
      <c r="AU23" s="242">
        <f>VLOOKUP(AU21,MarketData!$B$26:$D$43,3,0)/100</f>
        <v>6.5000000000000002E-2</v>
      </c>
      <c r="AV23" s="242">
        <f>VLOOKUP(AV21,MarketData!$B$26:$D$43,3,0)/100</f>
        <v>6.5000000000000002E-2</v>
      </c>
      <c r="AW23" s="242">
        <f>VLOOKUP(AW21,MarketData!$B$26:$D$43,3,0)/100</f>
        <v>6.5000000000000002E-2</v>
      </c>
      <c r="AX23" s="242">
        <f>VLOOKUP(AX21,MarketData!$B$26:$D$43,3,0)/100</f>
        <v>6.5000000000000002E-2</v>
      </c>
      <c r="AY23" s="242">
        <f>VLOOKUP(AY21,MarketData!$B$26:$D$43,3,0)/100</f>
        <v>6.5000000000000002E-2</v>
      </c>
      <c r="AZ23" s="242">
        <f>VLOOKUP(AZ21,MarketData!$B$26:$D$43,3,0)/100</f>
        <v>6.5000000000000002E-2</v>
      </c>
      <c r="BA23" s="242">
        <f>VLOOKUP(BA21,MarketData!$B$26:$D$43,3,0)/100</f>
        <v>6.5000000000000002E-2</v>
      </c>
      <c r="BB23" s="242">
        <f>VLOOKUP(BB21,MarketData!$B$26:$D$43,3,0)/100</f>
        <v>6.5000000000000002E-2</v>
      </c>
      <c r="BC23" s="242">
        <f>VLOOKUP(BC21,MarketData!$B$26:$D$43,3,0)/100</f>
        <v>6.5000000000000002E-2</v>
      </c>
      <c r="BD23" s="242">
        <f>VLOOKUP(BD21,MarketData!$B$26:$D$43,3,0)/100</f>
        <v>6.5000000000000002E-2</v>
      </c>
      <c r="BE23" s="242">
        <f>VLOOKUP(BE21,MarketData!$B$26:$D$43,3,0)/100</f>
        <v>6.5000000000000002E-2</v>
      </c>
      <c r="BF23" s="242">
        <f>VLOOKUP(BF21,MarketData!$B$26:$D$43,3,0)/100</f>
        <v>6.5000000000000002E-2</v>
      </c>
      <c r="BG23" s="242">
        <f>VLOOKUP(BG21,MarketData!$B$26:$D$43,3,0)/100</f>
        <v>6.5000000000000002E-2</v>
      </c>
      <c r="BH23" s="242">
        <f>VLOOKUP(BH21,MarketData!$B$26:$D$43,3,0)/100</f>
        <v>6.5000000000000002E-2</v>
      </c>
      <c r="BI23" s="242">
        <f>VLOOKUP(BI21,MarketData!$B$26:$D$43,3,0)/100</f>
        <v>6.5000000000000002E-2</v>
      </c>
      <c r="BJ23" s="242">
        <f>VLOOKUP(BJ21,MarketData!$B$26:$D$43,3,0)/100</f>
        <v>6.5000000000000002E-2</v>
      </c>
      <c r="BK23" s="242">
        <f>VLOOKUP(BK21,MarketData!$B$26:$D$43,3,0)/100</f>
        <v>6.5000000000000002E-2</v>
      </c>
      <c r="BL23" s="242">
        <f>VLOOKUP(BL21,MarketData!$B$26:$D$43,3,0)/100</f>
        <v>6.5000000000000002E-2</v>
      </c>
      <c r="BM23" s="242">
        <f>VLOOKUP(BM21,MarketData!$B$26:$D$43,3,0)/100</f>
        <v>6.5000000000000002E-2</v>
      </c>
      <c r="BN23" s="242">
        <f>VLOOKUP(BN21,MarketData!$B$26:$D$43,3,0)/100</f>
        <v>6.5000000000000002E-2</v>
      </c>
      <c r="BO23" s="242">
        <f>VLOOKUP(BO21,MarketData!$B$26:$D$43,3,0)/100</f>
        <v>6.5000000000000002E-2</v>
      </c>
      <c r="BP23" s="242">
        <f>VLOOKUP(BP21,MarketData!$B$26:$D$43,3,0)/100</f>
        <v>6.5000000000000002E-2</v>
      </c>
      <c r="BQ23" s="242">
        <f>VLOOKUP(BQ21,MarketData!$B$26:$D$43,3,0)/100</f>
        <v>6.5000000000000002E-2</v>
      </c>
      <c r="BR23" s="242">
        <f>VLOOKUP(BR21,MarketData!$B$26:$D$43,3,0)/100</f>
        <v>6.5000000000000002E-2</v>
      </c>
      <c r="BS23" s="242">
        <f>VLOOKUP(BS21,MarketData!$B$26:$D$43,3,0)/100</f>
        <v>6.5000000000000002E-2</v>
      </c>
      <c r="BT23" s="242">
        <f>VLOOKUP(BT21,MarketData!$B$26:$D$43,3,0)/100</f>
        <v>6.5000000000000002E-2</v>
      </c>
      <c r="BU23" s="242">
        <f>VLOOKUP(BU21,MarketData!$B$26:$D$43,3,0)/100</f>
        <v>6.5000000000000002E-2</v>
      </c>
      <c r="BV23" s="242">
        <f>VLOOKUP(BV21,MarketData!$B$26:$D$43,3,0)/100</f>
        <v>6.5000000000000002E-2</v>
      </c>
      <c r="BW23" s="242">
        <f>VLOOKUP(BW21,MarketData!$B$26:$D$43,3,0)/100</f>
        <v>6.5000000000000002E-2</v>
      </c>
      <c r="BX23" s="242">
        <f>VLOOKUP(BX21,MarketData!$B$26:$D$43,3,0)/100</f>
        <v>6.5000000000000002E-2</v>
      </c>
      <c r="BY23" s="242">
        <f>VLOOKUP(BY21,MarketData!$B$26:$D$43,3,0)/100</f>
        <v>6.5000000000000002E-2</v>
      </c>
      <c r="BZ23" s="242">
        <f>VLOOKUP(BZ21,MarketData!$B$26:$D$43,3,0)/100</f>
        <v>6.5000000000000002E-2</v>
      </c>
      <c r="CA23" s="242">
        <f>VLOOKUP(CA21,MarketData!$B$26:$D$43,3,0)/100</f>
        <v>6.5000000000000002E-2</v>
      </c>
      <c r="CB23" s="242">
        <f>VLOOKUP(CB21,MarketData!$B$26:$D$43,3,0)/100</f>
        <v>6.5000000000000002E-2</v>
      </c>
      <c r="CC23" s="242">
        <f>VLOOKUP(CC21,MarketData!$B$26:$D$43,3,0)/100</f>
        <v>6.5000000000000002E-2</v>
      </c>
      <c r="CD23" s="242">
        <f>VLOOKUP(CD21,MarketData!$B$26:$D$43,3,0)/100</f>
        <v>6.5000000000000002E-2</v>
      </c>
      <c r="CE23" s="242">
        <f>VLOOKUP(CE21,MarketData!$B$26:$D$43,3,0)/100</f>
        <v>6.5000000000000002E-2</v>
      </c>
      <c r="CF23" s="242">
        <f>VLOOKUP(CF21,MarketData!$B$26:$D$43,3,0)/100</f>
        <v>6.5000000000000002E-2</v>
      </c>
      <c r="CG23" s="242">
        <f>VLOOKUP(CG21,MarketData!$B$26:$D$43,3,0)/100</f>
        <v>6.5000000000000002E-2</v>
      </c>
      <c r="CH23" s="242">
        <f>VLOOKUP(CH21,MarketData!$B$26:$D$43,3,0)/100</f>
        <v>6.5000000000000002E-2</v>
      </c>
      <c r="CI23" s="242">
        <f>VLOOKUP(CI21,MarketData!$B$26:$D$43,3,0)/100</f>
        <v>6.5000000000000002E-2</v>
      </c>
      <c r="CJ23" s="242">
        <f>VLOOKUP(CJ21,MarketData!$B$26:$D$43,3,0)/100</f>
        <v>6.5000000000000002E-2</v>
      </c>
      <c r="CK23" s="242">
        <f>VLOOKUP(CK21,MarketData!$B$26:$D$43,3,0)/100</f>
        <v>6.5000000000000002E-2</v>
      </c>
      <c r="CL23" s="242">
        <f>VLOOKUP(CL21,MarketData!$B$26:$D$43,3,0)/100</f>
        <v>6.5000000000000002E-2</v>
      </c>
      <c r="CM23" s="242">
        <f>VLOOKUP(CM21,MarketData!$B$26:$D$43,3,0)/100</f>
        <v>6.5000000000000002E-2</v>
      </c>
      <c r="CN23" s="242">
        <f>VLOOKUP(CN21,MarketData!$B$26:$D$43,3,0)/100</f>
        <v>6.5000000000000002E-2</v>
      </c>
      <c r="CO23" s="242">
        <f>VLOOKUP(CO21,MarketData!$B$26:$D$43,3,0)/100</f>
        <v>6.5000000000000002E-2</v>
      </c>
      <c r="CP23" s="242">
        <f>VLOOKUP(CP21,MarketData!$B$26:$D$43,3,0)/100</f>
        <v>6.5000000000000002E-2</v>
      </c>
      <c r="CQ23" s="242">
        <f>VLOOKUP(CQ21,MarketData!$B$26:$D$43,3,0)/100</f>
        <v>6.5000000000000002E-2</v>
      </c>
      <c r="CR23" s="242">
        <f>VLOOKUP(CR21,MarketData!$B$26:$D$43,3,0)/100</f>
        <v>6.5000000000000002E-2</v>
      </c>
      <c r="CS23" s="242">
        <f>VLOOKUP(CS21,MarketData!$B$26:$D$43,3,0)/100</f>
        <v>6.5000000000000002E-2</v>
      </c>
    </row>
    <row r="24" spans="1:97" hidden="1" outlineLevel="1">
      <c r="A24" t="s">
        <v>36</v>
      </c>
      <c r="B24" s="242">
        <f>IF(B22=0,B23,VLOOKUP(B22,MarketData!$B$26:$D$43,3,0)/100)</f>
        <v>6.5000000000000002E-2</v>
      </c>
      <c r="C24" s="242">
        <f>IF(C22=0,C23,VLOOKUP(C22,MarketData!$B$26:$D$43,3,0)/100)</f>
        <v>6.5000000000000002E-2</v>
      </c>
      <c r="D24" s="242">
        <f>IF(D22=0,D23,VLOOKUP(D22,MarketData!$B$26:$D$43,3,0)/100)</f>
        <v>6.5000000000000002E-2</v>
      </c>
      <c r="E24" s="242">
        <f>IF(E22=0,E23,VLOOKUP(E22,MarketData!$B$26:$D$43,3,0)/100)</f>
        <v>6.5000000000000002E-2</v>
      </c>
      <c r="F24" s="242">
        <f>IF(F22=0,F23,VLOOKUP(F22,MarketData!$B$26:$D$43,3,0)/100)</f>
        <v>6.5000000000000002E-2</v>
      </c>
      <c r="G24" s="242">
        <f>IF(G22=0,G23,VLOOKUP(G22,MarketData!$B$26:$D$43,3,0)/100)</f>
        <v>6.5000000000000002E-2</v>
      </c>
      <c r="H24" s="242">
        <f>IF(H22=0,H23,VLOOKUP(H22,MarketData!$B$26:$D$43,3,0)/100)</f>
        <v>6.5000000000000002E-2</v>
      </c>
      <c r="I24" s="242">
        <f>IF(I22=0,I23,VLOOKUP(I22,MarketData!$B$26:$D$43,3,0)/100)</f>
        <v>6.5000000000000002E-2</v>
      </c>
      <c r="J24" s="242">
        <f>IF(J22=0,J23,VLOOKUP(J22,MarketData!$B$26:$D$43,3,0)/100)</f>
        <v>6.5000000000000002E-2</v>
      </c>
      <c r="K24" s="242">
        <f>IF(K22=0,K23,VLOOKUP(K22,MarketData!$B$26:$D$43,3,0)/100)</f>
        <v>6.5000000000000002E-2</v>
      </c>
      <c r="L24" s="242">
        <f>IF(L22=0,L23,VLOOKUP(L22,MarketData!$B$26:$D$43,3,0)/100)</f>
        <v>6.5000000000000002E-2</v>
      </c>
      <c r="M24" s="242">
        <f>IF(M22=0,M23,VLOOKUP(M22,MarketData!$B$26:$D$43,3,0)/100)</f>
        <v>6.5000000000000002E-2</v>
      </c>
      <c r="N24" s="242">
        <f>IF(N22=0,N23,VLOOKUP(N22,MarketData!$B$26:$D$43,3,0)/100)</f>
        <v>6.5000000000000002E-2</v>
      </c>
      <c r="O24" s="242">
        <f>IF(O22=0,O23,VLOOKUP(O22,MarketData!$B$26:$D$43,3,0)/100)</f>
        <v>6.5000000000000002E-2</v>
      </c>
      <c r="P24" s="242">
        <f>IF(P22=0,P23,VLOOKUP(P22,MarketData!$B$26:$D$43,3,0)/100)</f>
        <v>6.5000000000000002E-2</v>
      </c>
      <c r="Q24" s="242">
        <f>IF(Q22=0,Q23,VLOOKUP(Q22,MarketData!$B$26:$D$43,3,0)/100)</f>
        <v>6.5000000000000002E-2</v>
      </c>
      <c r="R24" s="242">
        <f>IF(R22=0,R23,VLOOKUP(R22,MarketData!$B$26:$D$43,3,0)/100)</f>
        <v>6.5000000000000002E-2</v>
      </c>
      <c r="S24" s="242">
        <f>IF(S22=0,S23,VLOOKUP(S22,MarketData!$B$26:$D$43,3,0)/100)</f>
        <v>6.5000000000000002E-2</v>
      </c>
      <c r="T24" s="242">
        <f>IF(T22=0,T23,VLOOKUP(T22,MarketData!$B$26:$D$43,3,0)/100)</f>
        <v>6.5000000000000002E-2</v>
      </c>
      <c r="U24" s="242">
        <f>IF(U22=0,U23,VLOOKUP(U22,MarketData!$B$26:$D$43,3,0)/100)</f>
        <v>6.5000000000000002E-2</v>
      </c>
      <c r="V24" s="242">
        <f>IF(V22=0,V23,VLOOKUP(V22,MarketData!$B$26:$D$43,3,0)/100)</f>
        <v>6.5000000000000002E-2</v>
      </c>
      <c r="W24" s="242">
        <f>IF(W22=0,W23,VLOOKUP(W22,MarketData!$B$26:$D$43,3,0)/100)</f>
        <v>6.5000000000000002E-2</v>
      </c>
      <c r="X24" s="242">
        <f>IF(X22=0,X23,VLOOKUP(X22,MarketData!$B$26:$D$43,3,0)/100)</f>
        <v>6.5000000000000002E-2</v>
      </c>
      <c r="Y24" s="242">
        <f>IF(Y22=0,Y23,VLOOKUP(Y22,MarketData!$B$26:$D$43,3,0)/100)</f>
        <v>6.5000000000000002E-2</v>
      </c>
      <c r="Z24" s="242">
        <f>IF(Z22=0,Z23,VLOOKUP(Z22,MarketData!$B$26:$D$43,3,0)/100)</f>
        <v>6.5000000000000002E-2</v>
      </c>
      <c r="AA24" s="242">
        <f>IF(AA22=0,AA23,VLOOKUP(AA22,MarketData!$B$26:$D$43,3,0)/100)</f>
        <v>6.5000000000000002E-2</v>
      </c>
      <c r="AB24" s="242">
        <f>IF(AB22=0,AB23,VLOOKUP(AB22,MarketData!$B$26:$D$43,3,0)/100)</f>
        <v>6.5000000000000002E-2</v>
      </c>
      <c r="AC24" s="242">
        <f>IF(AC22=0,AC23,VLOOKUP(AC22,MarketData!$B$26:$D$43,3,0)/100)</f>
        <v>6.5000000000000002E-2</v>
      </c>
      <c r="AD24" s="242">
        <f>IF(AD22=0,AD23,VLOOKUP(AD22,MarketData!$B$26:$D$43,3,0)/100)</f>
        <v>6.5000000000000002E-2</v>
      </c>
      <c r="AE24" s="242">
        <f>IF(AE22=0,AE23,VLOOKUP(AE22,MarketData!$B$26:$D$43,3,0)/100)</f>
        <v>6.5000000000000002E-2</v>
      </c>
      <c r="AF24" s="242">
        <f>IF(AF22=0,AF23,VLOOKUP(AF22,MarketData!$B$26:$D$43,3,0)/100)</f>
        <v>6.5000000000000002E-2</v>
      </c>
      <c r="AG24" s="242">
        <f>IF(AG22=0,AG23,VLOOKUP(AG22,MarketData!$B$26:$D$43,3,0)/100)</f>
        <v>6.5000000000000002E-2</v>
      </c>
      <c r="AH24" s="242">
        <f>IF(AH22=0,AH23,VLOOKUP(AH22,MarketData!$B$26:$D$43,3,0)/100)</f>
        <v>6.5000000000000002E-2</v>
      </c>
      <c r="AI24" s="242">
        <f>IF(AI22=0,AI23,VLOOKUP(AI22,MarketData!$B$26:$D$43,3,0)/100)</f>
        <v>6.5000000000000002E-2</v>
      </c>
      <c r="AJ24" s="242">
        <f>IF(AJ22=0,AJ23,VLOOKUP(AJ22,MarketData!$B$26:$D$43,3,0)/100)</f>
        <v>6.5000000000000002E-2</v>
      </c>
      <c r="AK24" s="242">
        <f>IF(AK22=0,AK23,VLOOKUP(AK22,MarketData!$B$26:$D$43,3,0)/100)</f>
        <v>6.5000000000000002E-2</v>
      </c>
      <c r="AL24" s="242">
        <f>IF(AL22=0,AL23,VLOOKUP(AL22,MarketData!$B$26:$D$43,3,0)/100)</f>
        <v>6.5000000000000002E-2</v>
      </c>
      <c r="AM24" s="242">
        <f>IF(AM22=0,AM23,VLOOKUP(AM22,MarketData!$B$26:$D$43,3,0)/100)</f>
        <v>6.5000000000000002E-2</v>
      </c>
      <c r="AN24" s="242">
        <f>IF(AN22=0,AN23,VLOOKUP(AN22,MarketData!$B$26:$D$43,3,0)/100)</f>
        <v>6.5000000000000002E-2</v>
      </c>
      <c r="AO24" s="242">
        <f>IF(AO22=0,AO23,VLOOKUP(AO22,MarketData!$B$26:$D$43,3,0)/100)</f>
        <v>6.5000000000000002E-2</v>
      </c>
      <c r="AP24" s="242">
        <f>IF(AP22=0,AP23,VLOOKUP(AP22,MarketData!$B$26:$D$43,3,0)/100)</f>
        <v>6.5000000000000002E-2</v>
      </c>
      <c r="AQ24" s="242">
        <f>IF(AQ22=0,AQ23,VLOOKUP(AQ22,MarketData!$B$26:$D$43,3,0)/100)</f>
        <v>6.5000000000000002E-2</v>
      </c>
      <c r="AR24" s="242">
        <f>IF(AR22=0,AR23,VLOOKUP(AR22,MarketData!$B$26:$D$43,3,0)/100)</f>
        <v>6.5000000000000002E-2</v>
      </c>
      <c r="AS24" s="242">
        <f>IF(AS22=0,AS23,VLOOKUP(AS22,MarketData!$B$26:$D$43,3,0)/100)</f>
        <v>6.5000000000000002E-2</v>
      </c>
      <c r="AT24" s="242">
        <f>IF(AT22=0,AT23,VLOOKUP(AT22,MarketData!$B$26:$D$43,3,0)/100)</f>
        <v>6.5000000000000002E-2</v>
      </c>
      <c r="AU24" s="242">
        <f>IF(AU22=0,AU23,VLOOKUP(AU22,MarketData!$B$26:$D$43,3,0)/100)</f>
        <v>6.5000000000000002E-2</v>
      </c>
      <c r="AV24" s="242">
        <f>IF(AV22=0,AV23,VLOOKUP(AV22,MarketData!$B$26:$D$43,3,0)/100)</f>
        <v>6.5000000000000002E-2</v>
      </c>
      <c r="AW24" s="242">
        <f>IF(AW22=0,AW23,VLOOKUP(AW22,MarketData!$B$26:$D$43,3,0)/100)</f>
        <v>6.5000000000000002E-2</v>
      </c>
      <c r="AX24" s="242">
        <f>IF(AX22=0,AX23,VLOOKUP(AX22,MarketData!$B$26:$D$43,3,0)/100)</f>
        <v>6.5000000000000002E-2</v>
      </c>
      <c r="AY24" s="242">
        <f>IF(AY22=0,AY23,VLOOKUP(AY22,MarketData!$B$26:$D$43,3,0)/100)</f>
        <v>6.5000000000000002E-2</v>
      </c>
      <c r="AZ24" s="242">
        <f>IF(AZ22=0,AZ23,VLOOKUP(AZ22,MarketData!$B$26:$D$43,3,0)/100)</f>
        <v>6.5000000000000002E-2</v>
      </c>
      <c r="BA24" s="242">
        <f>IF(BA22=0,BA23,VLOOKUP(BA22,MarketData!$B$26:$D$43,3,0)/100)</f>
        <v>6.5000000000000002E-2</v>
      </c>
      <c r="BB24" s="242">
        <f>IF(BB22=0,BB23,VLOOKUP(BB22,MarketData!$B$26:$D$43,3,0)/100)</f>
        <v>6.5000000000000002E-2</v>
      </c>
      <c r="BC24" s="242">
        <f>IF(BC22=0,BC23,VLOOKUP(BC22,MarketData!$B$26:$D$43,3,0)/100)</f>
        <v>6.5000000000000002E-2</v>
      </c>
      <c r="BD24" s="242">
        <f>IF(BD22=0,BD23,VLOOKUP(BD22,MarketData!$B$26:$D$43,3,0)/100)</f>
        <v>6.5000000000000002E-2</v>
      </c>
      <c r="BE24" s="242">
        <f>IF(BE22=0,BE23,VLOOKUP(BE22,MarketData!$B$26:$D$43,3,0)/100)</f>
        <v>6.5000000000000002E-2</v>
      </c>
      <c r="BF24" s="242">
        <f>IF(BF22=0,BF23,VLOOKUP(BF22,MarketData!$B$26:$D$43,3,0)/100)</f>
        <v>6.5000000000000002E-2</v>
      </c>
      <c r="BG24" s="242">
        <f>IF(BG22=0,BG23,VLOOKUP(BG22,MarketData!$B$26:$D$43,3,0)/100)</f>
        <v>6.5000000000000002E-2</v>
      </c>
      <c r="BH24" s="242">
        <f>IF(BH22=0,BH23,VLOOKUP(BH22,MarketData!$B$26:$D$43,3,0)/100)</f>
        <v>6.5000000000000002E-2</v>
      </c>
      <c r="BI24" s="242">
        <f>IF(BI22=0,BI23,VLOOKUP(BI22,MarketData!$B$26:$D$43,3,0)/100)</f>
        <v>6.5000000000000002E-2</v>
      </c>
      <c r="BJ24" s="242">
        <f>IF(BJ22=0,BJ23,VLOOKUP(BJ22,MarketData!$B$26:$D$43,3,0)/100)</f>
        <v>6.5000000000000002E-2</v>
      </c>
      <c r="BK24" s="242">
        <f>IF(BK22=0,BK23,VLOOKUP(BK22,MarketData!$B$26:$D$43,3,0)/100)</f>
        <v>6.5000000000000002E-2</v>
      </c>
      <c r="BL24" s="242">
        <f>IF(BL22=0,BL23,VLOOKUP(BL22,MarketData!$B$26:$D$43,3,0)/100)</f>
        <v>6.5000000000000002E-2</v>
      </c>
      <c r="BM24" s="242">
        <f>IF(BM22=0,BM23,VLOOKUP(BM22,MarketData!$B$26:$D$43,3,0)/100)</f>
        <v>6.5000000000000002E-2</v>
      </c>
      <c r="BN24" s="242">
        <f>IF(BN22=0,BN23,VLOOKUP(BN22,MarketData!$B$26:$D$43,3,0)/100)</f>
        <v>6.5000000000000002E-2</v>
      </c>
      <c r="BO24" s="242">
        <f>IF(BO22=0,BO23,VLOOKUP(BO22,MarketData!$B$26:$D$43,3,0)/100)</f>
        <v>6.5000000000000002E-2</v>
      </c>
      <c r="BP24" s="242">
        <f>IF(BP22=0,BP23,VLOOKUP(BP22,MarketData!$B$26:$D$43,3,0)/100)</f>
        <v>6.5000000000000002E-2</v>
      </c>
      <c r="BQ24" s="242">
        <f>IF(BQ22=0,BQ23,VLOOKUP(BQ22,MarketData!$B$26:$D$43,3,0)/100)</f>
        <v>6.5000000000000002E-2</v>
      </c>
      <c r="BR24" s="242">
        <f>IF(BR22=0,BR23,VLOOKUP(BR22,MarketData!$B$26:$D$43,3,0)/100)</f>
        <v>6.5000000000000002E-2</v>
      </c>
      <c r="BS24" s="242">
        <f>IF(BS22=0,BS23,VLOOKUP(BS22,MarketData!$B$26:$D$43,3,0)/100)</f>
        <v>6.5000000000000002E-2</v>
      </c>
      <c r="BT24" s="242">
        <f>IF(BT22=0,BT23,VLOOKUP(BT22,MarketData!$B$26:$D$43,3,0)/100)</f>
        <v>6.5000000000000002E-2</v>
      </c>
      <c r="BU24" s="242">
        <f>IF(BU22=0,BU23,VLOOKUP(BU22,MarketData!$B$26:$D$43,3,0)/100)</f>
        <v>6.5000000000000002E-2</v>
      </c>
      <c r="BV24" s="242">
        <f>IF(BV22=0,BV23,VLOOKUP(BV22,MarketData!$B$26:$D$43,3,0)/100)</f>
        <v>6.5000000000000002E-2</v>
      </c>
      <c r="BW24" s="242">
        <f>IF(BW22=0,BW23,VLOOKUP(BW22,MarketData!$B$26:$D$43,3,0)/100)</f>
        <v>6.5000000000000002E-2</v>
      </c>
      <c r="BX24" s="242">
        <f>IF(BX22=0,BX23,VLOOKUP(BX22,MarketData!$B$26:$D$43,3,0)/100)</f>
        <v>6.5000000000000002E-2</v>
      </c>
      <c r="BY24" s="242">
        <f>IF(BY22=0,BY23,VLOOKUP(BY22,MarketData!$B$26:$D$43,3,0)/100)</f>
        <v>6.5000000000000002E-2</v>
      </c>
      <c r="BZ24" s="242">
        <f>IF(BZ22=0,BZ23,VLOOKUP(BZ22,MarketData!$B$26:$D$43,3,0)/100)</f>
        <v>6.5000000000000002E-2</v>
      </c>
      <c r="CA24" s="242">
        <f>IF(CA22=0,CA23,VLOOKUP(CA22,MarketData!$B$26:$D$43,3,0)/100)</f>
        <v>6.5000000000000002E-2</v>
      </c>
      <c r="CB24" s="242">
        <f>IF(CB22=0,CB23,VLOOKUP(CB22,MarketData!$B$26:$D$43,3,0)/100)</f>
        <v>6.5000000000000002E-2</v>
      </c>
      <c r="CC24" s="242">
        <f>IF(CC22=0,CC23,VLOOKUP(CC22,MarketData!$B$26:$D$43,3,0)/100)</f>
        <v>6.5000000000000002E-2</v>
      </c>
      <c r="CD24" s="242">
        <f>IF(CD22=0,CD23,VLOOKUP(CD22,MarketData!$B$26:$D$43,3,0)/100)</f>
        <v>6.5000000000000002E-2</v>
      </c>
      <c r="CE24" s="242">
        <f>IF(CE22=0,CE23,VLOOKUP(CE22,MarketData!$B$26:$D$43,3,0)/100)</f>
        <v>6.5000000000000002E-2</v>
      </c>
      <c r="CF24" s="242">
        <f>IF(CF22=0,CF23,VLOOKUP(CF22,MarketData!$B$26:$D$43,3,0)/100)</f>
        <v>6.5000000000000002E-2</v>
      </c>
      <c r="CG24" s="242">
        <f>IF(CG22=0,CG23,VLOOKUP(CG22,MarketData!$B$26:$D$43,3,0)/100)</f>
        <v>6.5000000000000002E-2</v>
      </c>
      <c r="CH24" s="242">
        <f>IF(CH22=0,CH23,VLOOKUP(CH22,MarketData!$B$26:$D$43,3,0)/100)</f>
        <v>6.5000000000000002E-2</v>
      </c>
      <c r="CI24" s="242">
        <f>IF(CI22=0,CI23,VLOOKUP(CI22,MarketData!$B$26:$D$43,3,0)/100)</f>
        <v>6.5000000000000002E-2</v>
      </c>
      <c r="CJ24" s="242">
        <f>IF(CJ22=0,CJ23,VLOOKUP(CJ22,MarketData!$B$26:$D$43,3,0)/100)</f>
        <v>6.5000000000000002E-2</v>
      </c>
      <c r="CK24" s="242">
        <f>IF(CK22=0,CK23,VLOOKUP(CK22,MarketData!$B$26:$D$43,3,0)/100)</f>
        <v>6.5000000000000002E-2</v>
      </c>
      <c r="CL24" s="242">
        <f>IF(CL22=0,CL23,VLOOKUP(CL22,MarketData!$B$26:$D$43,3,0)/100)</f>
        <v>6.5000000000000002E-2</v>
      </c>
      <c r="CM24" s="242">
        <f>IF(CM22=0,CM23,VLOOKUP(CM22,MarketData!$B$26:$D$43,3,0)/100)</f>
        <v>6.5000000000000002E-2</v>
      </c>
      <c r="CN24" s="242">
        <f>IF(CN22=0,CN23,VLOOKUP(CN22,MarketData!$B$26:$D$43,3,0)/100)</f>
        <v>6.5000000000000002E-2</v>
      </c>
      <c r="CO24" s="242">
        <f>IF(CO22=0,CO23,VLOOKUP(CO22,MarketData!$B$26:$D$43,3,0)/100)</f>
        <v>6.5000000000000002E-2</v>
      </c>
      <c r="CP24" s="242">
        <f>IF(CP22=0,CP23,VLOOKUP(CP22,MarketData!$B$26:$D$43,3,0)/100)</f>
        <v>6.5000000000000002E-2</v>
      </c>
      <c r="CQ24" s="242">
        <f>IF(CQ22=0,CQ23,VLOOKUP(CQ22,MarketData!$B$26:$D$43,3,0)/100)</f>
        <v>6.5000000000000002E-2</v>
      </c>
      <c r="CR24" s="242">
        <f>IF(CR22=0,CR23,VLOOKUP(CR22,MarketData!$B$26:$D$43,3,0)/100)</f>
        <v>6.5000000000000002E-2</v>
      </c>
      <c r="CS24" s="242">
        <f>IF(CS22=0,CS23,VLOOKUP(CS22,MarketData!$B$26:$D$43,3,0)/100)</f>
        <v>6.5000000000000002E-2</v>
      </c>
    </row>
    <row r="25" spans="1:97" collapsed="1">
      <c r="A25" t="s">
        <v>13</v>
      </c>
      <c r="B25" s="25" t="str">
        <f>IF(B20=A20,"","P")</f>
        <v>P</v>
      </c>
      <c r="C25" s="25" t="str">
        <f t="shared" ref="C25:BN25" si="33">IF(C20=B20,"","P")</f>
        <v>P</v>
      </c>
      <c r="D25" s="25" t="str">
        <f t="shared" si="33"/>
        <v>P</v>
      </c>
      <c r="E25" s="25" t="str">
        <f t="shared" si="33"/>
        <v>P</v>
      </c>
      <c r="F25" s="25" t="str">
        <f t="shared" si="33"/>
        <v>P</v>
      </c>
      <c r="G25" s="237" t="str">
        <f t="shared" si="33"/>
        <v>P</v>
      </c>
      <c r="H25" s="237" t="str">
        <f t="shared" si="33"/>
        <v/>
      </c>
      <c r="I25" s="237" t="str">
        <f t="shared" si="33"/>
        <v/>
      </c>
      <c r="J25" s="25" t="str">
        <f t="shared" si="33"/>
        <v>P</v>
      </c>
      <c r="K25" s="25" t="str">
        <f t="shared" si="33"/>
        <v>P</v>
      </c>
      <c r="L25" s="25" t="str">
        <f t="shared" si="33"/>
        <v>P</v>
      </c>
      <c r="M25" s="25" t="str">
        <f t="shared" si="33"/>
        <v>P</v>
      </c>
      <c r="N25" s="25" t="str">
        <f t="shared" si="33"/>
        <v>P</v>
      </c>
      <c r="O25" s="237" t="str">
        <f t="shared" si="33"/>
        <v>P</v>
      </c>
      <c r="P25" s="237" t="str">
        <f t="shared" si="33"/>
        <v/>
      </c>
      <c r="Q25" s="237" t="str">
        <f t="shared" si="33"/>
        <v/>
      </c>
      <c r="R25" s="25" t="str">
        <f t="shared" si="33"/>
        <v>P</v>
      </c>
      <c r="S25" s="25" t="str">
        <f t="shared" si="33"/>
        <v>P</v>
      </c>
      <c r="T25" s="25" t="str">
        <f t="shared" si="33"/>
        <v>P</v>
      </c>
      <c r="U25" s="25" t="str">
        <f t="shared" si="33"/>
        <v>P</v>
      </c>
      <c r="V25" s="25" t="str">
        <f t="shared" si="33"/>
        <v>P</v>
      </c>
      <c r="W25" s="237" t="str">
        <f t="shared" si="33"/>
        <v>P</v>
      </c>
      <c r="X25" s="237" t="str">
        <f t="shared" si="33"/>
        <v/>
      </c>
      <c r="Y25" s="237" t="str">
        <f t="shared" si="33"/>
        <v/>
      </c>
      <c r="Z25" s="25" t="str">
        <f t="shared" si="33"/>
        <v>P</v>
      </c>
      <c r="AA25" s="25" t="str">
        <f t="shared" si="33"/>
        <v>P</v>
      </c>
      <c r="AB25" s="25" t="str">
        <f t="shared" si="33"/>
        <v>P</v>
      </c>
      <c r="AC25" s="25" t="str">
        <f t="shared" si="33"/>
        <v>P</v>
      </c>
      <c r="AD25" s="25" t="str">
        <f t="shared" si="33"/>
        <v>P</v>
      </c>
      <c r="AE25" s="237" t="str">
        <f t="shared" si="33"/>
        <v>P</v>
      </c>
      <c r="AF25" s="237" t="str">
        <f t="shared" si="33"/>
        <v/>
      </c>
      <c r="AG25" s="237" t="str">
        <f t="shared" si="33"/>
        <v/>
      </c>
      <c r="AH25" s="25" t="str">
        <f t="shared" si="33"/>
        <v>P</v>
      </c>
      <c r="AI25" s="25" t="str">
        <f t="shared" si="33"/>
        <v>P</v>
      </c>
      <c r="AJ25" s="25" t="str">
        <f t="shared" si="33"/>
        <v>P</v>
      </c>
      <c r="AK25" s="25" t="str">
        <f t="shared" si="33"/>
        <v>P</v>
      </c>
      <c r="AL25" s="25" t="str">
        <f t="shared" si="33"/>
        <v>P</v>
      </c>
      <c r="AM25" s="237" t="str">
        <f t="shared" si="33"/>
        <v>P</v>
      </c>
      <c r="AN25" s="237" t="str">
        <f t="shared" si="33"/>
        <v/>
      </c>
      <c r="AO25" s="237" t="str">
        <f t="shared" si="33"/>
        <v/>
      </c>
      <c r="AP25" s="25" t="str">
        <f t="shared" si="33"/>
        <v>P</v>
      </c>
      <c r="AQ25" s="25" t="str">
        <f t="shared" si="33"/>
        <v>P</v>
      </c>
      <c r="AR25" s="25" t="str">
        <f t="shared" si="33"/>
        <v>P</v>
      </c>
      <c r="AS25" s="25" t="str">
        <f t="shared" si="33"/>
        <v>P</v>
      </c>
      <c r="AT25" s="25" t="str">
        <f t="shared" si="33"/>
        <v>P</v>
      </c>
      <c r="AU25" s="237" t="str">
        <f t="shared" si="33"/>
        <v>P</v>
      </c>
      <c r="AV25" s="237" t="str">
        <f t="shared" si="33"/>
        <v/>
      </c>
      <c r="AW25" s="237" t="str">
        <f t="shared" si="33"/>
        <v/>
      </c>
      <c r="AX25" s="25" t="str">
        <f t="shared" si="33"/>
        <v>P</v>
      </c>
      <c r="AY25" s="25" t="str">
        <f t="shared" si="33"/>
        <v>P</v>
      </c>
      <c r="AZ25" s="25" t="str">
        <f t="shared" si="33"/>
        <v>P</v>
      </c>
      <c r="BA25" s="25" t="str">
        <f t="shared" si="33"/>
        <v>P</v>
      </c>
      <c r="BB25" s="25" t="str">
        <f t="shared" si="33"/>
        <v>P</v>
      </c>
      <c r="BC25" s="237" t="str">
        <f t="shared" si="33"/>
        <v>P</v>
      </c>
      <c r="BD25" s="237" t="str">
        <f t="shared" si="33"/>
        <v/>
      </c>
      <c r="BE25" s="237" t="str">
        <f t="shared" si="33"/>
        <v/>
      </c>
      <c r="BF25" s="25" t="str">
        <f t="shared" si="33"/>
        <v>P</v>
      </c>
      <c r="BG25" s="25" t="str">
        <f t="shared" si="33"/>
        <v>P</v>
      </c>
      <c r="BH25" s="25" t="str">
        <f t="shared" si="33"/>
        <v>P</v>
      </c>
      <c r="BI25" s="25" t="str">
        <f t="shared" si="33"/>
        <v>P</v>
      </c>
      <c r="BJ25" s="25" t="str">
        <f t="shared" si="33"/>
        <v>P</v>
      </c>
      <c r="BK25" s="237" t="str">
        <f t="shared" si="33"/>
        <v>P</v>
      </c>
      <c r="BL25" s="237" t="str">
        <f t="shared" si="33"/>
        <v/>
      </c>
      <c r="BM25" s="237" t="str">
        <f t="shared" si="33"/>
        <v/>
      </c>
      <c r="BN25" s="25" t="str">
        <f t="shared" si="33"/>
        <v>P</v>
      </c>
      <c r="BO25" s="25" t="str">
        <f t="shared" ref="BO25:CS25" si="34">IF(BO20=BN20,"","P")</f>
        <v>P</v>
      </c>
      <c r="BP25" s="25" t="str">
        <f t="shared" si="34"/>
        <v>P</v>
      </c>
      <c r="BQ25" s="25" t="str">
        <f t="shared" si="34"/>
        <v>P</v>
      </c>
      <c r="BR25" s="25" t="str">
        <f t="shared" si="34"/>
        <v>P</v>
      </c>
      <c r="BS25" s="237" t="str">
        <f t="shared" si="34"/>
        <v>P</v>
      </c>
      <c r="BT25" s="237" t="str">
        <f t="shared" si="34"/>
        <v/>
      </c>
      <c r="BU25" s="237" t="str">
        <f t="shared" si="34"/>
        <v/>
      </c>
      <c r="BV25" s="25" t="str">
        <f t="shared" si="34"/>
        <v>P</v>
      </c>
      <c r="BW25" s="25" t="str">
        <f t="shared" si="34"/>
        <v>P</v>
      </c>
      <c r="BX25" s="25" t="str">
        <f t="shared" si="34"/>
        <v>P</v>
      </c>
      <c r="BY25" s="25" t="str">
        <f t="shared" si="34"/>
        <v>P</v>
      </c>
      <c r="BZ25" s="25" t="str">
        <f t="shared" si="34"/>
        <v>P</v>
      </c>
      <c r="CA25" s="237" t="str">
        <f t="shared" si="34"/>
        <v>P</v>
      </c>
      <c r="CB25" s="237" t="str">
        <f t="shared" si="34"/>
        <v/>
      </c>
      <c r="CC25" s="237" t="str">
        <f t="shared" si="34"/>
        <v/>
      </c>
      <c r="CD25" s="25" t="str">
        <f t="shared" si="34"/>
        <v>P</v>
      </c>
      <c r="CE25" s="25" t="str">
        <f t="shared" si="34"/>
        <v>P</v>
      </c>
      <c r="CF25" s="25" t="str">
        <f t="shared" si="34"/>
        <v>P</v>
      </c>
      <c r="CG25" s="25" t="str">
        <f t="shared" si="34"/>
        <v>P</v>
      </c>
      <c r="CH25" s="25" t="str">
        <f t="shared" si="34"/>
        <v>P</v>
      </c>
      <c r="CI25" s="237" t="str">
        <f t="shared" si="34"/>
        <v>P</v>
      </c>
      <c r="CJ25" s="237" t="str">
        <f t="shared" si="34"/>
        <v/>
      </c>
      <c r="CK25" s="237" t="str">
        <f t="shared" si="34"/>
        <v/>
      </c>
      <c r="CL25" s="25" t="str">
        <f t="shared" si="34"/>
        <v>P</v>
      </c>
      <c r="CM25" s="25" t="str">
        <f t="shared" si="34"/>
        <v>P</v>
      </c>
      <c r="CN25" s="25" t="str">
        <f t="shared" si="34"/>
        <v>P</v>
      </c>
      <c r="CO25" s="25" t="str">
        <f t="shared" si="34"/>
        <v>P</v>
      </c>
      <c r="CP25" s="25" t="str">
        <f t="shared" si="34"/>
        <v>P</v>
      </c>
      <c r="CQ25" s="237" t="str">
        <f t="shared" si="34"/>
        <v>P</v>
      </c>
      <c r="CR25" s="237" t="str">
        <f t="shared" si="34"/>
        <v/>
      </c>
      <c r="CS25" s="237" t="str">
        <f t="shared" si="34"/>
        <v/>
      </c>
    </row>
    <row r="26" spans="1:97">
      <c r="A26" t="s">
        <v>6</v>
      </c>
      <c r="B26" s="241">
        <f t="shared" ref="B26:I26" si="35">$B$1</f>
        <v>46238</v>
      </c>
      <c r="C26" s="241">
        <f t="shared" si="35"/>
        <v>46238</v>
      </c>
      <c r="D26" s="241">
        <f t="shared" si="35"/>
        <v>46238</v>
      </c>
      <c r="E26" s="241">
        <f t="shared" si="35"/>
        <v>46238</v>
      </c>
      <c r="F26" s="241">
        <f t="shared" si="35"/>
        <v>46238</v>
      </c>
      <c r="G26" s="241">
        <f t="shared" si="35"/>
        <v>46238</v>
      </c>
      <c r="H26" s="241">
        <f t="shared" si="35"/>
        <v>46238</v>
      </c>
      <c r="I26" s="241">
        <f t="shared" si="35"/>
        <v>46238</v>
      </c>
      <c r="J26" s="241">
        <f t="shared" ref="J26:AW26" si="36">$B$1</f>
        <v>46238</v>
      </c>
      <c r="K26" s="241">
        <f t="shared" si="36"/>
        <v>46238</v>
      </c>
      <c r="L26" s="241">
        <f t="shared" si="36"/>
        <v>46238</v>
      </c>
      <c r="M26" s="241">
        <f t="shared" si="36"/>
        <v>46238</v>
      </c>
      <c r="N26" s="241">
        <f t="shared" si="36"/>
        <v>46238</v>
      </c>
      <c r="O26" s="241">
        <f t="shared" si="36"/>
        <v>46238</v>
      </c>
      <c r="P26" s="241">
        <f t="shared" si="36"/>
        <v>46238</v>
      </c>
      <c r="Q26" s="241">
        <f t="shared" si="36"/>
        <v>46238</v>
      </c>
      <c r="R26" s="241">
        <f t="shared" si="36"/>
        <v>46238</v>
      </c>
      <c r="S26" s="241">
        <f t="shared" si="36"/>
        <v>46238</v>
      </c>
      <c r="T26" s="241">
        <f t="shared" si="36"/>
        <v>46238</v>
      </c>
      <c r="U26" s="241">
        <f t="shared" si="36"/>
        <v>46238</v>
      </c>
      <c r="V26" s="241">
        <f t="shared" si="36"/>
        <v>46238</v>
      </c>
      <c r="W26" s="241">
        <f t="shared" si="36"/>
        <v>46238</v>
      </c>
      <c r="X26" s="241">
        <f t="shared" si="36"/>
        <v>46238</v>
      </c>
      <c r="Y26" s="241">
        <f t="shared" si="36"/>
        <v>46238</v>
      </c>
      <c r="Z26" s="241">
        <f t="shared" si="36"/>
        <v>46238</v>
      </c>
      <c r="AA26" s="241">
        <f t="shared" si="36"/>
        <v>46238</v>
      </c>
      <c r="AB26" s="241">
        <f t="shared" si="36"/>
        <v>46238</v>
      </c>
      <c r="AC26" s="241">
        <f t="shared" si="36"/>
        <v>46238</v>
      </c>
      <c r="AD26" s="241">
        <f t="shared" si="36"/>
        <v>46238</v>
      </c>
      <c r="AE26" s="241">
        <f t="shared" si="36"/>
        <v>46238</v>
      </c>
      <c r="AF26" s="241">
        <f t="shared" si="36"/>
        <v>46238</v>
      </c>
      <c r="AG26" s="241">
        <f t="shared" si="36"/>
        <v>46238</v>
      </c>
      <c r="AH26" s="241">
        <f t="shared" si="36"/>
        <v>46238</v>
      </c>
      <c r="AI26" s="241">
        <f t="shared" si="36"/>
        <v>46238</v>
      </c>
      <c r="AJ26" s="241">
        <f t="shared" si="36"/>
        <v>46238</v>
      </c>
      <c r="AK26" s="241">
        <f t="shared" si="36"/>
        <v>46238</v>
      </c>
      <c r="AL26" s="241">
        <f t="shared" si="36"/>
        <v>46238</v>
      </c>
      <c r="AM26" s="241">
        <f t="shared" si="36"/>
        <v>46238</v>
      </c>
      <c r="AN26" s="241">
        <f t="shared" si="36"/>
        <v>46238</v>
      </c>
      <c r="AO26" s="241">
        <f t="shared" si="36"/>
        <v>46238</v>
      </c>
      <c r="AP26" s="241">
        <f t="shared" si="36"/>
        <v>46238</v>
      </c>
      <c r="AQ26" s="241">
        <f t="shared" si="36"/>
        <v>46238</v>
      </c>
      <c r="AR26" s="241">
        <f t="shared" si="36"/>
        <v>46238</v>
      </c>
      <c r="AS26" s="241">
        <f t="shared" si="36"/>
        <v>46238</v>
      </c>
      <c r="AT26" s="241">
        <f t="shared" si="36"/>
        <v>46238</v>
      </c>
      <c r="AU26" s="241">
        <f t="shared" si="36"/>
        <v>46238</v>
      </c>
      <c r="AV26" s="241">
        <f t="shared" si="36"/>
        <v>46238</v>
      </c>
      <c r="AW26" s="241">
        <f t="shared" si="36"/>
        <v>46238</v>
      </c>
      <c r="AX26" s="241">
        <f t="shared" ref="AX26:BE26" si="37">$B$1</f>
        <v>46238</v>
      </c>
      <c r="AY26" s="241">
        <f t="shared" si="37"/>
        <v>46238</v>
      </c>
      <c r="AZ26" s="241">
        <f t="shared" si="37"/>
        <v>46238</v>
      </c>
      <c r="BA26" s="241">
        <f t="shared" si="37"/>
        <v>46238</v>
      </c>
      <c r="BB26" s="241">
        <f t="shared" si="37"/>
        <v>46238</v>
      </c>
      <c r="BC26" s="241">
        <f t="shared" si="37"/>
        <v>46238</v>
      </c>
      <c r="BD26" s="241">
        <f t="shared" si="37"/>
        <v>46238</v>
      </c>
      <c r="BE26" s="241">
        <f t="shared" si="37"/>
        <v>46238</v>
      </c>
      <c r="BF26" s="241">
        <f t="shared" ref="BF26:CS26" si="38">$B$1</f>
        <v>46238</v>
      </c>
      <c r="BG26" s="241">
        <f t="shared" si="38"/>
        <v>46238</v>
      </c>
      <c r="BH26" s="241">
        <f t="shared" si="38"/>
        <v>46238</v>
      </c>
      <c r="BI26" s="241">
        <f t="shared" si="38"/>
        <v>46238</v>
      </c>
      <c r="BJ26" s="241">
        <f t="shared" si="38"/>
        <v>46238</v>
      </c>
      <c r="BK26" s="241">
        <f t="shared" si="38"/>
        <v>46238</v>
      </c>
      <c r="BL26" s="241">
        <f t="shared" si="38"/>
        <v>46238</v>
      </c>
      <c r="BM26" s="241">
        <f t="shared" si="38"/>
        <v>46238</v>
      </c>
      <c r="BN26" s="241">
        <f t="shared" si="38"/>
        <v>46238</v>
      </c>
      <c r="BO26" s="241">
        <f t="shared" si="38"/>
        <v>46238</v>
      </c>
      <c r="BP26" s="241">
        <f t="shared" si="38"/>
        <v>46238</v>
      </c>
      <c r="BQ26" s="241">
        <f t="shared" si="38"/>
        <v>46238</v>
      </c>
      <c r="BR26" s="241">
        <f t="shared" si="38"/>
        <v>46238</v>
      </c>
      <c r="BS26" s="241">
        <f t="shared" si="38"/>
        <v>46238</v>
      </c>
      <c r="BT26" s="241">
        <f t="shared" si="38"/>
        <v>46238</v>
      </c>
      <c r="BU26" s="241">
        <f t="shared" si="38"/>
        <v>46238</v>
      </c>
      <c r="BV26" s="241">
        <f t="shared" si="38"/>
        <v>46238</v>
      </c>
      <c r="BW26" s="241">
        <f t="shared" si="38"/>
        <v>46238</v>
      </c>
      <c r="BX26" s="241">
        <f t="shared" si="38"/>
        <v>46238</v>
      </c>
      <c r="BY26" s="241">
        <f t="shared" si="38"/>
        <v>46238</v>
      </c>
      <c r="BZ26" s="241">
        <f t="shared" si="38"/>
        <v>46238</v>
      </c>
      <c r="CA26" s="241">
        <f t="shared" si="38"/>
        <v>46238</v>
      </c>
      <c r="CB26" s="241">
        <f t="shared" si="38"/>
        <v>46238</v>
      </c>
      <c r="CC26" s="241">
        <f t="shared" si="38"/>
        <v>46238</v>
      </c>
      <c r="CD26" s="241">
        <f t="shared" si="38"/>
        <v>46238</v>
      </c>
      <c r="CE26" s="241">
        <f t="shared" si="38"/>
        <v>46238</v>
      </c>
      <c r="CF26" s="241">
        <f t="shared" si="38"/>
        <v>46238</v>
      </c>
      <c r="CG26" s="241">
        <f t="shared" si="38"/>
        <v>46238</v>
      </c>
      <c r="CH26" s="241">
        <f t="shared" si="38"/>
        <v>46238</v>
      </c>
      <c r="CI26" s="241">
        <f t="shared" si="38"/>
        <v>46238</v>
      </c>
      <c r="CJ26" s="241">
        <f t="shared" si="38"/>
        <v>46238</v>
      </c>
      <c r="CK26" s="241">
        <f t="shared" si="38"/>
        <v>46238</v>
      </c>
      <c r="CL26" s="241">
        <f t="shared" si="38"/>
        <v>46238</v>
      </c>
      <c r="CM26" s="241">
        <f t="shared" si="38"/>
        <v>46238</v>
      </c>
      <c r="CN26" s="241">
        <f t="shared" si="38"/>
        <v>46238</v>
      </c>
      <c r="CO26" s="241">
        <f t="shared" si="38"/>
        <v>46238</v>
      </c>
      <c r="CP26" s="241">
        <f t="shared" si="38"/>
        <v>46238</v>
      </c>
      <c r="CQ26" s="241">
        <f t="shared" si="38"/>
        <v>46238</v>
      </c>
      <c r="CR26" s="241">
        <f t="shared" si="38"/>
        <v>46238</v>
      </c>
      <c r="CS26" s="241">
        <f t="shared" si="38"/>
        <v>46238</v>
      </c>
    </row>
    <row r="27" spans="1:97">
      <c r="A27" t="s">
        <v>1</v>
      </c>
      <c r="B27" s="239">
        <f t="shared" ref="B27:CG27" si="39">$B$2*(1+$J$7)</f>
        <v>76799</v>
      </c>
      <c r="C27" s="239">
        <f t="shared" si="39"/>
        <v>76799</v>
      </c>
      <c r="D27" s="239">
        <f t="shared" si="39"/>
        <v>76799</v>
      </c>
      <c r="E27" s="239">
        <f t="shared" si="39"/>
        <v>76799</v>
      </c>
      <c r="F27" s="239">
        <f t="shared" si="39"/>
        <v>76799</v>
      </c>
      <c r="G27" s="239">
        <f t="shared" si="39"/>
        <v>76799</v>
      </c>
      <c r="H27" s="239">
        <f t="shared" si="39"/>
        <v>76799</v>
      </c>
      <c r="I27" s="239">
        <f t="shared" si="39"/>
        <v>76799</v>
      </c>
      <c r="J27" s="239">
        <f t="shared" si="39"/>
        <v>76799</v>
      </c>
      <c r="K27" s="239">
        <f t="shared" si="39"/>
        <v>76799</v>
      </c>
      <c r="L27" s="239">
        <f t="shared" si="39"/>
        <v>76799</v>
      </c>
      <c r="M27" s="239">
        <f t="shared" si="39"/>
        <v>76799</v>
      </c>
      <c r="N27" s="239">
        <f t="shared" si="39"/>
        <v>76799</v>
      </c>
      <c r="O27" s="239">
        <f t="shared" si="39"/>
        <v>76799</v>
      </c>
      <c r="P27" s="239">
        <f t="shared" si="39"/>
        <v>76799</v>
      </c>
      <c r="Q27" s="239">
        <f t="shared" si="39"/>
        <v>76799</v>
      </c>
      <c r="R27" s="239">
        <f t="shared" si="39"/>
        <v>76799</v>
      </c>
      <c r="S27" s="239">
        <f t="shared" si="39"/>
        <v>76799</v>
      </c>
      <c r="T27" s="239">
        <f t="shared" si="39"/>
        <v>76799</v>
      </c>
      <c r="U27" s="239">
        <f t="shared" si="39"/>
        <v>76799</v>
      </c>
      <c r="V27" s="239">
        <f t="shared" si="39"/>
        <v>76799</v>
      </c>
      <c r="W27" s="239">
        <f t="shared" si="39"/>
        <v>76799</v>
      </c>
      <c r="X27" s="239">
        <f t="shared" si="39"/>
        <v>76799</v>
      </c>
      <c r="Y27" s="239">
        <f t="shared" si="39"/>
        <v>76799</v>
      </c>
      <c r="Z27" s="239">
        <f t="shared" si="39"/>
        <v>76799</v>
      </c>
      <c r="AA27" s="239">
        <f t="shared" si="39"/>
        <v>76799</v>
      </c>
      <c r="AB27" s="239">
        <f t="shared" si="39"/>
        <v>76799</v>
      </c>
      <c r="AC27" s="239">
        <f t="shared" si="39"/>
        <v>76799</v>
      </c>
      <c r="AD27" s="239">
        <f t="shared" si="39"/>
        <v>76799</v>
      </c>
      <c r="AE27" s="239">
        <f t="shared" si="39"/>
        <v>76799</v>
      </c>
      <c r="AF27" s="239">
        <f t="shared" si="39"/>
        <v>76799</v>
      </c>
      <c r="AG27" s="239">
        <f t="shared" si="39"/>
        <v>76799</v>
      </c>
      <c r="AH27" s="239">
        <f t="shared" si="39"/>
        <v>76799</v>
      </c>
      <c r="AI27" s="239">
        <f t="shared" si="39"/>
        <v>76799</v>
      </c>
      <c r="AJ27" s="239">
        <f t="shared" si="39"/>
        <v>76799</v>
      </c>
      <c r="AK27" s="239">
        <f t="shared" si="39"/>
        <v>76799</v>
      </c>
      <c r="AL27" s="239">
        <f t="shared" si="39"/>
        <v>76799</v>
      </c>
      <c r="AM27" s="239">
        <f t="shared" si="39"/>
        <v>76799</v>
      </c>
      <c r="AN27" s="239">
        <f t="shared" si="39"/>
        <v>76799</v>
      </c>
      <c r="AO27" s="239">
        <f t="shared" si="39"/>
        <v>76799</v>
      </c>
      <c r="AP27" s="239">
        <f t="shared" si="39"/>
        <v>76799</v>
      </c>
      <c r="AQ27" s="239">
        <f t="shared" si="39"/>
        <v>76799</v>
      </c>
      <c r="AR27" s="239">
        <f t="shared" si="39"/>
        <v>76799</v>
      </c>
      <c r="AS27" s="239">
        <f t="shared" si="39"/>
        <v>76799</v>
      </c>
      <c r="AT27" s="239">
        <f t="shared" si="39"/>
        <v>76799</v>
      </c>
      <c r="AU27" s="239">
        <f t="shared" si="39"/>
        <v>76799</v>
      </c>
      <c r="AV27" s="239">
        <f t="shared" si="39"/>
        <v>76799</v>
      </c>
      <c r="AW27" s="239">
        <f t="shared" si="39"/>
        <v>76799</v>
      </c>
      <c r="AX27" s="239">
        <f t="shared" si="39"/>
        <v>76799</v>
      </c>
      <c r="AY27" s="239">
        <f t="shared" si="39"/>
        <v>76799</v>
      </c>
      <c r="AZ27" s="239">
        <f t="shared" si="39"/>
        <v>76799</v>
      </c>
      <c r="BA27" s="239">
        <f t="shared" si="39"/>
        <v>76799</v>
      </c>
      <c r="BB27" s="239">
        <f t="shared" si="39"/>
        <v>76799</v>
      </c>
      <c r="BC27" s="239">
        <f t="shared" si="39"/>
        <v>76799</v>
      </c>
      <c r="BD27" s="239">
        <f t="shared" si="39"/>
        <v>76799</v>
      </c>
      <c r="BE27" s="239">
        <f t="shared" si="39"/>
        <v>76799</v>
      </c>
      <c r="BF27" s="239">
        <f t="shared" si="39"/>
        <v>76799</v>
      </c>
      <c r="BG27" s="239">
        <f t="shared" si="39"/>
        <v>76799</v>
      </c>
      <c r="BH27" s="239">
        <f t="shared" si="39"/>
        <v>76799</v>
      </c>
      <c r="BI27" s="239">
        <f t="shared" si="39"/>
        <v>76799</v>
      </c>
      <c r="BJ27" s="239">
        <f t="shared" si="39"/>
        <v>76799</v>
      </c>
      <c r="BK27" s="239">
        <f t="shared" si="39"/>
        <v>76799</v>
      </c>
      <c r="BL27" s="239">
        <f t="shared" si="39"/>
        <v>76799</v>
      </c>
      <c r="BM27" s="239">
        <f t="shared" si="39"/>
        <v>76799</v>
      </c>
      <c r="BN27" s="239">
        <f t="shared" si="39"/>
        <v>76799</v>
      </c>
      <c r="BO27" s="239">
        <f t="shared" si="39"/>
        <v>76799</v>
      </c>
      <c r="BP27" s="239">
        <f t="shared" si="39"/>
        <v>76799</v>
      </c>
      <c r="BQ27" s="239">
        <f t="shared" si="39"/>
        <v>76799</v>
      </c>
      <c r="BR27" s="239">
        <f t="shared" si="39"/>
        <v>76799</v>
      </c>
      <c r="BS27" s="239">
        <f t="shared" si="39"/>
        <v>76799</v>
      </c>
      <c r="BT27" s="239">
        <f t="shared" si="39"/>
        <v>76799</v>
      </c>
      <c r="BU27" s="239">
        <f t="shared" si="39"/>
        <v>76799</v>
      </c>
      <c r="BV27" s="239">
        <f t="shared" si="39"/>
        <v>76799</v>
      </c>
      <c r="BW27" s="239">
        <f t="shared" si="39"/>
        <v>76799</v>
      </c>
      <c r="BX27" s="239">
        <f t="shared" si="39"/>
        <v>76799</v>
      </c>
      <c r="BY27" s="239">
        <f t="shared" si="39"/>
        <v>76799</v>
      </c>
      <c r="BZ27" s="239">
        <f t="shared" si="39"/>
        <v>76799</v>
      </c>
      <c r="CA27" s="239">
        <f t="shared" si="39"/>
        <v>76799</v>
      </c>
      <c r="CB27" s="239">
        <f t="shared" si="39"/>
        <v>76799</v>
      </c>
      <c r="CC27" s="239">
        <f t="shared" si="39"/>
        <v>76799</v>
      </c>
      <c r="CD27" s="239">
        <f t="shared" si="39"/>
        <v>76799</v>
      </c>
      <c r="CE27" s="239">
        <f t="shared" si="39"/>
        <v>76799</v>
      </c>
      <c r="CF27" s="239">
        <f t="shared" si="39"/>
        <v>76799</v>
      </c>
      <c r="CG27" s="239">
        <f t="shared" si="39"/>
        <v>76799</v>
      </c>
      <c r="CH27" s="239">
        <f t="shared" ref="CH27:CS27" si="40">$B$2*(1+$J$7)</f>
        <v>76799</v>
      </c>
      <c r="CI27" s="239">
        <f t="shared" si="40"/>
        <v>76799</v>
      </c>
      <c r="CJ27" s="239">
        <f t="shared" si="40"/>
        <v>76799</v>
      </c>
      <c r="CK27" s="239">
        <f t="shared" si="40"/>
        <v>76799</v>
      </c>
      <c r="CL27" s="239">
        <f t="shared" si="40"/>
        <v>76799</v>
      </c>
      <c r="CM27" s="239">
        <f t="shared" si="40"/>
        <v>76799</v>
      </c>
      <c r="CN27" s="239">
        <f t="shared" si="40"/>
        <v>76799</v>
      </c>
      <c r="CO27" s="239">
        <f t="shared" si="40"/>
        <v>76799</v>
      </c>
      <c r="CP27" s="239">
        <f t="shared" si="40"/>
        <v>76799</v>
      </c>
      <c r="CQ27" s="239">
        <f t="shared" si="40"/>
        <v>76799</v>
      </c>
      <c r="CR27" s="239">
        <f t="shared" si="40"/>
        <v>76799</v>
      </c>
      <c r="CS27" s="239">
        <f t="shared" si="40"/>
        <v>76799</v>
      </c>
    </row>
    <row r="28" spans="1:97">
      <c r="A28" t="s">
        <v>2</v>
      </c>
      <c r="B28" s="243">
        <f>'Pricing Params'!$H$69</f>
        <v>5.5E-2</v>
      </c>
      <c r="C28" s="243">
        <f>'Pricing Params'!$H$69</f>
        <v>5.5E-2</v>
      </c>
      <c r="D28" s="243">
        <f>'Pricing Params'!$H$69</f>
        <v>5.5E-2</v>
      </c>
      <c r="E28" s="243">
        <f>'Pricing Params'!$H$69</f>
        <v>5.5E-2</v>
      </c>
      <c r="F28" s="243">
        <f>'Pricing Params'!$H$69</f>
        <v>5.5E-2</v>
      </c>
      <c r="G28" s="243">
        <f>'Pricing Params'!$H$69</f>
        <v>5.5E-2</v>
      </c>
      <c r="H28" s="243">
        <f>'Pricing Params'!$H$69</f>
        <v>5.5E-2</v>
      </c>
      <c r="I28" s="243">
        <f>'Pricing Params'!$H$69</f>
        <v>5.5E-2</v>
      </c>
      <c r="J28" s="243">
        <f>'Pricing Params'!$H$69</f>
        <v>5.5E-2</v>
      </c>
      <c r="K28" s="243">
        <f>'Pricing Params'!$H$69</f>
        <v>5.5E-2</v>
      </c>
      <c r="L28" s="243">
        <f>'Pricing Params'!$H$69</f>
        <v>5.5E-2</v>
      </c>
      <c r="M28" s="243">
        <f>'Pricing Params'!$H$69</f>
        <v>5.5E-2</v>
      </c>
      <c r="N28" s="243">
        <f>'Pricing Params'!$H$69</f>
        <v>5.5E-2</v>
      </c>
      <c r="O28" s="243">
        <f>'Pricing Params'!$H$69</f>
        <v>5.5E-2</v>
      </c>
      <c r="P28" s="243">
        <f>'Pricing Params'!$H$69</f>
        <v>5.5E-2</v>
      </c>
      <c r="Q28" s="243">
        <f>'Pricing Params'!$H$69</f>
        <v>5.5E-2</v>
      </c>
      <c r="R28" s="243">
        <f>'Pricing Params'!$H$69</f>
        <v>5.5E-2</v>
      </c>
      <c r="S28" s="243">
        <f>'Pricing Params'!$H$69</f>
        <v>5.5E-2</v>
      </c>
      <c r="T28" s="243">
        <f>'Pricing Params'!$H$69</f>
        <v>5.5E-2</v>
      </c>
      <c r="U28" s="243">
        <f>'Pricing Params'!$H$69</f>
        <v>5.5E-2</v>
      </c>
      <c r="V28" s="243">
        <f>'Pricing Params'!$H$69</f>
        <v>5.5E-2</v>
      </c>
      <c r="W28" s="243">
        <f>'Pricing Params'!$H$69</f>
        <v>5.5E-2</v>
      </c>
      <c r="X28" s="243">
        <f>'Pricing Params'!$H$69</f>
        <v>5.5E-2</v>
      </c>
      <c r="Y28" s="243">
        <f>'Pricing Params'!$H$69</f>
        <v>5.5E-2</v>
      </c>
      <c r="Z28" s="243">
        <f>'Pricing Params'!$H$69</f>
        <v>5.5E-2</v>
      </c>
      <c r="AA28" s="243">
        <f>'Pricing Params'!$H$69</f>
        <v>5.5E-2</v>
      </c>
      <c r="AB28" s="243">
        <f>'Pricing Params'!$H$69</f>
        <v>5.5E-2</v>
      </c>
      <c r="AC28" s="243">
        <f>'Pricing Params'!$H$69</f>
        <v>5.5E-2</v>
      </c>
      <c r="AD28" s="243">
        <f>'Pricing Params'!$H$69</f>
        <v>5.5E-2</v>
      </c>
      <c r="AE28" s="243">
        <f>'Pricing Params'!$H$69</f>
        <v>5.5E-2</v>
      </c>
      <c r="AF28" s="243">
        <f>'Pricing Params'!$H$69</f>
        <v>5.5E-2</v>
      </c>
      <c r="AG28" s="243">
        <f>'Pricing Params'!$H$69</f>
        <v>5.5E-2</v>
      </c>
      <c r="AH28" s="243">
        <f>'Pricing Params'!$H$69</f>
        <v>5.5E-2</v>
      </c>
      <c r="AI28" s="243">
        <f>'Pricing Params'!$H$69</f>
        <v>5.5E-2</v>
      </c>
      <c r="AJ28" s="243">
        <f>'Pricing Params'!$H$69</f>
        <v>5.5E-2</v>
      </c>
      <c r="AK28" s="243">
        <f>'Pricing Params'!$H$69</f>
        <v>5.5E-2</v>
      </c>
      <c r="AL28" s="243">
        <f>'Pricing Params'!$H$69</f>
        <v>5.5E-2</v>
      </c>
      <c r="AM28" s="243">
        <f>'Pricing Params'!$H$69</f>
        <v>5.5E-2</v>
      </c>
      <c r="AN28" s="243">
        <f>'Pricing Params'!$H$69</f>
        <v>5.5E-2</v>
      </c>
      <c r="AO28" s="243">
        <f>'Pricing Params'!$H$69</f>
        <v>5.5E-2</v>
      </c>
      <c r="AP28" s="243">
        <f>'Pricing Params'!$H$69</f>
        <v>5.5E-2</v>
      </c>
      <c r="AQ28" s="243">
        <f>'Pricing Params'!$H$69</f>
        <v>5.5E-2</v>
      </c>
      <c r="AR28" s="243">
        <f>'Pricing Params'!$H$69</f>
        <v>5.5E-2</v>
      </c>
      <c r="AS28" s="243">
        <f>'Pricing Params'!$H$69</f>
        <v>5.5E-2</v>
      </c>
      <c r="AT28" s="243">
        <f>'Pricing Params'!$H$69</f>
        <v>5.5E-2</v>
      </c>
      <c r="AU28" s="243">
        <f>'Pricing Params'!$H$69</f>
        <v>5.5E-2</v>
      </c>
      <c r="AV28" s="243">
        <f>'Pricing Params'!$H$69</f>
        <v>5.5E-2</v>
      </c>
      <c r="AW28" s="243">
        <f>'Pricing Params'!$H$69</f>
        <v>5.5E-2</v>
      </c>
      <c r="AX28" s="243">
        <f>'Pricing Params'!$H$69</f>
        <v>5.5E-2</v>
      </c>
      <c r="AY28" s="243">
        <f>'Pricing Params'!$H$69</f>
        <v>5.5E-2</v>
      </c>
      <c r="AZ28" s="243">
        <f>'Pricing Params'!$H$69</f>
        <v>5.5E-2</v>
      </c>
      <c r="BA28" s="243">
        <f>'Pricing Params'!$H$69</f>
        <v>5.5E-2</v>
      </c>
      <c r="BB28" s="243">
        <f>'Pricing Params'!$H$69</f>
        <v>5.5E-2</v>
      </c>
      <c r="BC28" s="243">
        <f>'Pricing Params'!$H$69</f>
        <v>5.5E-2</v>
      </c>
      <c r="BD28" s="243">
        <f>'Pricing Params'!$H$69</f>
        <v>5.5E-2</v>
      </c>
      <c r="BE28" s="243">
        <f>'Pricing Params'!$H$69</f>
        <v>5.5E-2</v>
      </c>
      <c r="BF28" s="243">
        <f>'Pricing Params'!$H$69</f>
        <v>5.5E-2</v>
      </c>
      <c r="BG28" s="243">
        <f>'Pricing Params'!$H$69</f>
        <v>5.5E-2</v>
      </c>
      <c r="BH28" s="243">
        <f>'Pricing Params'!$H$69</f>
        <v>5.5E-2</v>
      </c>
      <c r="BI28" s="243">
        <f>'Pricing Params'!$H$69</f>
        <v>5.5E-2</v>
      </c>
      <c r="BJ28" s="243">
        <f>'Pricing Params'!$H$69</f>
        <v>5.5E-2</v>
      </c>
      <c r="BK28" s="243">
        <f>'Pricing Params'!$H$69</f>
        <v>5.5E-2</v>
      </c>
      <c r="BL28" s="243">
        <f>'Pricing Params'!$H$69</f>
        <v>5.5E-2</v>
      </c>
      <c r="BM28" s="243">
        <f>'Pricing Params'!$H$69</f>
        <v>5.5E-2</v>
      </c>
      <c r="BN28" s="243">
        <f>'Pricing Params'!$H$69</f>
        <v>5.5E-2</v>
      </c>
      <c r="BO28" s="243">
        <f>'Pricing Params'!$H$69</f>
        <v>5.5E-2</v>
      </c>
      <c r="BP28" s="243">
        <f>'Pricing Params'!$H$69</f>
        <v>5.5E-2</v>
      </c>
      <c r="BQ28" s="243">
        <f>'Pricing Params'!$H$69</f>
        <v>5.5E-2</v>
      </c>
      <c r="BR28" s="243">
        <f>'Pricing Params'!$H$69</f>
        <v>5.5E-2</v>
      </c>
      <c r="BS28" s="243">
        <f>'Pricing Params'!$H$69</f>
        <v>5.5E-2</v>
      </c>
      <c r="BT28" s="243">
        <f>'Pricing Params'!$H$69</f>
        <v>5.5E-2</v>
      </c>
      <c r="BU28" s="243">
        <f>'Pricing Params'!$H$69</f>
        <v>5.5E-2</v>
      </c>
      <c r="BV28" s="243">
        <f>'Pricing Params'!$H$69</f>
        <v>5.5E-2</v>
      </c>
      <c r="BW28" s="243">
        <f>'Pricing Params'!$H$69</f>
        <v>5.5E-2</v>
      </c>
      <c r="BX28" s="243">
        <f>'Pricing Params'!$H$69</f>
        <v>5.5E-2</v>
      </c>
      <c r="BY28" s="243">
        <f>'Pricing Params'!$H$69</f>
        <v>5.5E-2</v>
      </c>
      <c r="BZ28" s="243">
        <f>'Pricing Params'!$H$69</f>
        <v>5.5E-2</v>
      </c>
      <c r="CA28" s="243">
        <f>'Pricing Params'!$H$69</f>
        <v>5.5E-2</v>
      </c>
      <c r="CB28" s="243">
        <f>'Pricing Params'!$H$69</f>
        <v>5.5E-2</v>
      </c>
      <c r="CC28" s="243">
        <f>'Pricing Params'!$H$69</f>
        <v>5.5E-2</v>
      </c>
      <c r="CD28" s="243">
        <f>'Pricing Params'!$H$69</f>
        <v>5.5E-2</v>
      </c>
      <c r="CE28" s="243">
        <f>'Pricing Params'!$H$69</f>
        <v>5.5E-2</v>
      </c>
      <c r="CF28" s="243">
        <f>'Pricing Params'!$H$69</f>
        <v>5.5E-2</v>
      </c>
      <c r="CG28" s="243">
        <f>'Pricing Params'!$H$69</f>
        <v>5.5E-2</v>
      </c>
      <c r="CH28" s="243">
        <f>'Pricing Params'!$H$69</f>
        <v>5.5E-2</v>
      </c>
      <c r="CI28" s="243">
        <f>'Pricing Params'!$H$69</f>
        <v>5.5E-2</v>
      </c>
      <c r="CJ28" s="243">
        <f>'Pricing Params'!$H$69</f>
        <v>5.5E-2</v>
      </c>
      <c r="CK28" s="243">
        <f>'Pricing Params'!$H$69</f>
        <v>5.5E-2</v>
      </c>
      <c r="CL28" s="243">
        <f>'Pricing Params'!$H$69</f>
        <v>5.5E-2</v>
      </c>
      <c r="CM28" s="243">
        <f>'Pricing Params'!$H$69</f>
        <v>5.5E-2</v>
      </c>
      <c r="CN28" s="243">
        <f>'Pricing Params'!$H$69</f>
        <v>5.5E-2</v>
      </c>
      <c r="CO28" s="243">
        <f>'Pricing Params'!$H$69</f>
        <v>5.5E-2</v>
      </c>
      <c r="CP28" s="243">
        <f>'Pricing Params'!$H$69</f>
        <v>5.5E-2</v>
      </c>
      <c r="CQ28" s="243">
        <f>'Pricing Params'!$H$69</f>
        <v>5.5E-2</v>
      </c>
      <c r="CR28" s="243">
        <f>'Pricing Params'!$H$69</f>
        <v>5.5E-2</v>
      </c>
      <c r="CS28" s="243">
        <f>'Pricing Params'!$H$69</f>
        <v>5.5E-2</v>
      </c>
    </row>
    <row r="29" spans="1:97">
      <c r="A29" t="s">
        <v>30</v>
      </c>
      <c r="B29" s="243">
        <f>IF(B34="OLD",IF(B23=B24,B23,FORECAST(B20,B23:B24,B21:B22)),IF(B$25="P",IF(B$34="O",MIN('Pricing Params'!$N$2,IF(B23=B24,B23,FORECAST(B20,B23:B24,B21:B22))),MIN('Pricing Params'!$O$2,IF(B23=B24,B23,FORECAST(B20,B23:B24,B21:B22)))),IF(B$34="O",MIN('Pricing Params'!$O$2,IF(B23=B24,B23,FORECAST(B20,B23:B24,B21:B22))),MIN('Pricing Params'!$N$2,IF(B23=B24,B23,FORECAST(B20,B23:B24,B21:B22))))))</f>
        <v>6.5000000000000002E-2</v>
      </c>
      <c r="C29" s="243">
        <f>IF(C34="OLD",IF(C23=C24,C23,FORECAST(C20,C23:C24,C21:C22)),IF(C$25="P",IF(C$34="O",MIN('Pricing Params'!$N$2,IF(C23=C24,C23,FORECAST(C20,C23:C24,C21:C22))),MIN('Pricing Params'!$O$2,IF(C23=C24,C23,FORECAST(C20,C23:C24,C21:C22)))),IF(C$34="O",MIN('Pricing Params'!$O$2,IF(C23=C24,C23,FORECAST(C20,C23:C24,C21:C22))),MIN('Pricing Params'!$N$2,IF(C23=C24,C23,FORECAST(C20,C23:C24,C21:C22))))))</f>
        <v>6.5000000000000002E-2</v>
      </c>
      <c r="D29" s="243">
        <f>IF(D34="OLD",IF(D23=D24,D23,FORECAST(D20,D23:D24,D21:D22)),IF(D$25="P",IF(D$34="O",MIN('Pricing Params'!$N$2,IF(D23=D24,D23,FORECAST(D20,D23:D24,D21:D22))),MIN('Pricing Params'!$O$2,IF(D23=D24,D23,FORECAST(D20,D23:D24,D21:D22)))),IF(D$34="O",MIN('Pricing Params'!$O$2,IF(D23=D24,D23,FORECAST(D20,D23:D24,D21:D22))),MIN('Pricing Params'!$N$2,IF(D23=D24,D23,FORECAST(D20,D23:D24,D21:D22))))))</f>
        <v>6.5000000000000002E-2</v>
      </c>
      <c r="E29" s="243">
        <f>IF(E34="OLD",IF(E23=E24,E23,FORECAST(E20,E23:E24,E21:E22)),IF(E$25="P",IF(E$34="O",MIN('Pricing Params'!$N$2,IF(E23=E24,E23,FORECAST(E20,E23:E24,E21:E22))),MIN('Pricing Params'!$O$2,IF(E23=E24,E23,FORECAST(E20,E23:E24,E21:E22)))),IF(E$34="O",MIN('Pricing Params'!$O$2,IF(E23=E24,E23,FORECAST(E20,E23:E24,E21:E22))),MIN('Pricing Params'!$N$2,IF(E23=E24,E23,FORECAST(E20,E23:E24,E21:E22))))))</f>
        <v>6.5000000000000002E-2</v>
      </c>
      <c r="F29" s="243">
        <f>IF(F34="OLD",IF(F23=F24,F23,FORECAST(F20,F23:F24,F21:F22)),IF(F$25="P",IF(F$34="O",MIN('Pricing Params'!$N$2,IF(F23=F24,F23,FORECAST(F20,F23:F24,F21:F22))),MIN('Pricing Params'!$O$2,IF(F23=F24,F23,FORECAST(F20,F23:F24,F21:F22)))),IF(F$34="O",MIN('Pricing Params'!$O$2,IF(F23=F24,F23,FORECAST(F20,F23:F24,F21:F22))),MIN('Pricing Params'!$N$2,IF(F23=F24,F23,FORECAST(F20,F23:F24,F21:F22))))))</f>
        <v>6.5000000000000002E-2</v>
      </c>
      <c r="G29" s="243">
        <f>IF(G34="OLD",IF(G23=G24,G23,FORECAST(G20,G23:G24,G21:G22)),IF(G$25="P",IF(G$34="O",MIN('Pricing Params'!$N$2,IF(G23=G24,G23,FORECAST(G20,G23:G24,G21:G22))),MIN('Pricing Params'!$O$2,IF(G23=G24,G23,FORECAST(G20,G23:G24,G21:G22)))),IF(G$34="O",MIN('Pricing Params'!$O$2,IF(G23=G24,G23,FORECAST(G20,G23:G24,G21:G22))),MIN('Pricing Params'!$N$2,IF(G23=G24,G23,FORECAST(G20,G23:G24,G21:G22))))))</f>
        <v>6.5000000000000002E-2</v>
      </c>
      <c r="H29" s="243">
        <f>IF(H34="OLD",IF(H23=H24,H23,FORECAST(H20,H23:H24,H21:H22)),IF(H$25="P",IF(H$34="O",MIN('Pricing Params'!$N$2,IF(H23=H24,H23,FORECAST(H20,H23:H24,H21:H22))),MIN('Pricing Params'!$O$2,IF(H23=H24,H23,FORECAST(H20,H23:H24,H21:H22)))),IF(H$34="O",MIN('Pricing Params'!$O$2,IF(H23=H24,H23,FORECAST(H20,H23:H24,H21:H22))),MIN('Pricing Params'!$N$2,IF(H23=H24,H23,FORECAST(H20,H23:H24,H21:H22))))))</f>
        <v>6.5000000000000002E-2</v>
      </c>
      <c r="I29" s="243">
        <f>IF(I34="OLD",IF(I23=I24,I23,FORECAST(I20,I23:I24,I21:I22)),IF(I$25="P",IF(I$34="O",MIN('Pricing Params'!$N$2,IF(I23=I24,I23,FORECAST(I20,I23:I24,I21:I22))),MIN('Pricing Params'!$O$2,IF(I23=I24,I23,FORECAST(I20,I23:I24,I21:I22)))),IF(I$34="O",MIN('Pricing Params'!$O$2,IF(I23=I24,I23,FORECAST(I20,I23:I24,I21:I22))),MIN('Pricing Params'!$N$2,IF(I23=I24,I23,FORECAST(I20,I23:I24,I21:I22))))))</f>
        <v>6.5000000000000002E-2</v>
      </c>
      <c r="J29" s="245">
        <f>IF(J34="OLD",IF(J23=J24,J23,FORECAST(J20,J23:J24,J21:J22)),IF(J$25="P",IF(J$34="O",MIN('Pricing Params'!$N$2,IF(J23=J24,J23,FORECAST(J20,J23:J24,J21:J22))),MIN('Pricing Params'!$O$2,IF(J23=J24,J23,FORECAST(J20,J23:J24,J21:J22)))),IF(J$34="O",MIN('Pricing Params'!$O$2,IF(J23=J24,J23,FORECAST(J20,J23:J24,J21:J22))),MIN('Pricing Params'!$N$2,IF(J23=J24,J23,FORECAST(J20,J23:J24,J21:J22))))))</f>
        <v>6.5000000000000002E-2</v>
      </c>
      <c r="K29" s="245">
        <f>IF(K34="OLD",IF(K23=K24,K23,FORECAST(K20,K23:K24,K21:K22)),IF(K$25="P",IF(K$34="O",MIN('Pricing Params'!$N$2,IF(K23=K24,K23,FORECAST(K20,K23:K24,K21:K22))),MIN('Pricing Params'!$O$2,IF(K23=K24,K23,FORECAST(K20,K23:K24,K21:K22)))),IF(K$34="O",MIN('Pricing Params'!$O$2,IF(K23=K24,K23,FORECAST(K20,K23:K24,K21:K22))),MIN('Pricing Params'!$N$2,IF(K23=K24,K23,FORECAST(K20,K23:K24,K21:K22))))))</f>
        <v>6.5000000000000002E-2</v>
      </c>
      <c r="L29" s="245">
        <f>IF(L34="OLD",IF(L23=L24,L23,FORECAST(L20,L23:L24,L21:L22)),IF(L$25="P",IF(L$34="O",MIN('Pricing Params'!$N$2,IF(L23=L24,L23,FORECAST(L20,L23:L24,L21:L22))),MIN('Pricing Params'!$O$2,IF(L23=L24,L23,FORECAST(L20,L23:L24,L21:L22)))),IF(L$34="O",MIN('Pricing Params'!$O$2,IF(L23=L24,L23,FORECAST(L20,L23:L24,L21:L22))),MIN('Pricing Params'!$N$2,IF(L23=L24,L23,FORECAST(L20,L23:L24,L21:L22))))))</f>
        <v>6.5000000000000002E-2</v>
      </c>
      <c r="M29" s="245">
        <f>IF(M34="OLD",IF(M23=M24,M23,FORECAST(M20,M23:M24,M21:M22)),IF(M$25="P",IF(M$34="O",MIN('Pricing Params'!$N$2,IF(M23=M24,M23,FORECAST(M20,M23:M24,M21:M22))),MIN('Pricing Params'!$O$2,IF(M23=M24,M23,FORECAST(M20,M23:M24,M21:M22)))),IF(M$34="O",MIN('Pricing Params'!$O$2,IF(M23=M24,M23,FORECAST(M20,M23:M24,M21:M22))),MIN('Pricing Params'!$N$2,IF(M23=M24,M23,FORECAST(M20,M23:M24,M21:M22))))))</f>
        <v>6.5000000000000002E-2</v>
      </c>
      <c r="N29" s="245">
        <f>IF(N34="OLD",IF(N23=N24,N23,FORECAST(N20,N23:N24,N21:N22)),IF(N$25="P",IF(N$34="O",MIN('Pricing Params'!$N$2,IF(N23=N24,N23,FORECAST(N20,N23:N24,N21:N22))),MIN('Pricing Params'!$O$2,IF(N23=N24,N23,FORECAST(N20,N23:N24,N21:N22)))),IF(N$34="O",MIN('Pricing Params'!$O$2,IF(N23=N24,N23,FORECAST(N20,N23:N24,N21:N22))),MIN('Pricing Params'!$N$2,IF(N23=N24,N23,FORECAST(N20,N23:N24,N21:N22))))))</f>
        <v>6.5000000000000002E-2</v>
      </c>
      <c r="O29" s="245">
        <f>IF(O34="OLD",IF(O23=O24,O23,FORECAST(O20,O23:O24,O21:O22)),IF(O$25="P",IF(O$34="O",MIN('Pricing Params'!$N$2,IF(O23=O24,O23,FORECAST(O20,O23:O24,O21:O22))),MIN('Pricing Params'!$O$2,IF(O23=O24,O23,FORECAST(O20,O23:O24,O21:O22)))),IF(O$34="O",MIN('Pricing Params'!$O$2,IF(O23=O24,O23,FORECAST(O20,O23:O24,O21:O22))),MIN('Pricing Params'!$N$2,IF(O23=O24,O23,FORECAST(O20,O23:O24,O21:O22))))))</f>
        <v>6.5000000000000002E-2</v>
      </c>
      <c r="P29" s="245">
        <f>IF(P34="OLD",IF(P23=P24,P23,FORECAST(P20,P23:P24,P21:P22)),IF(P$25="P",IF(P$34="O",MIN('Pricing Params'!$N$2,IF(P23=P24,P23,FORECAST(P20,P23:P24,P21:P22))),MIN('Pricing Params'!$O$2,IF(P23=P24,P23,FORECAST(P20,P23:P24,P21:P22)))),IF(P$34="O",MIN('Pricing Params'!$O$2,IF(P23=P24,P23,FORECAST(P20,P23:P24,P21:P22))),MIN('Pricing Params'!$N$2,IF(P23=P24,P23,FORECAST(P20,P23:P24,P21:P22))))))</f>
        <v>6.5000000000000002E-2</v>
      </c>
      <c r="Q29" s="245">
        <f>IF(Q34="OLD",IF(Q23=Q24,Q23,FORECAST(Q20,Q23:Q24,Q21:Q22)),IF(Q$25="P",IF(Q$34="O",MIN('Pricing Params'!$N$2,IF(Q23=Q24,Q23,FORECAST(Q20,Q23:Q24,Q21:Q22))),MIN('Pricing Params'!$O$2,IF(Q23=Q24,Q23,FORECAST(Q20,Q23:Q24,Q21:Q22)))),IF(Q$34="O",MIN('Pricing Params'!$O$2,IF(Q23=Q24,Q23,FORECAST(Q20,Q23:Q24,Q21:Q22))),MIN('Pricing Params'!$N$2,IF(Q23=Q24,Q23,FORECAST(Q20,Q23:Q24,Q21:Q22))))))</f>
        <v>6.5000000000000002E-2</v>
      </c>
      <c r="R29" s="245">
        <f>IF(R34="OLD",IF(R23=R24,R23,FORECAST(R20,R23:R24,R21:R22)),IF(R$25="P",IF(R$34="O",MIN('Pricing Params'!$N$2,IF(R23=R24,R23,FORECAST(R20,R23:R24,R21:R22))),MIN('Pricing Params'!$O$2,IF(R23=R24,R23,FORECAST(R20,R23:R24,R21:R22)))),IF(R$34="O",MIN('Pricing Params'!$O$2,IF(R23=R24,R23,FORECAST(R20,R23:R24,R21:R22))),MIN('Pricing Params'!$N$2,IF(R23=R24,R23,FORECAST(R20,R23:R24,R21:R22))))))</f>
        <v>6.5000000000000002E-2</v>
      </c>
      <c r="S29" s="245">
        <f>IF(S34="OLD",IF(S23=S24,S23,FORECAST(S20,S23:S24,S21:S22)),IF(S$25="P",IF(S$34="O",MIN('Pricing Params'!$N$2,IF(S23=S24,S23,FORECAST(S20,S23:S24,S21:S22))),MIN('Pricing Params'!$O$2,IF(S23=S24,S23,FORECAST(S20,S23:S24,S21:S22)))),IF(S$34="O",MIN('Pricing Params'!$O$2,IF(S23=S24,S23,FORECAST(S20,S23:S24,S21:S22))),MIN('Pricing Params'!$N$2,IF(S23=S24,S23,FORECAST(S20,S23:S24,S21:S22))))))</f>
        <v>6.5000000000000002E-2</v>
      </c>
      <c r="T29" s="245">
        <f>IF(T34="OLD",IF(T23=T24,T23,FORECAST(T20,T23:T24,T21:T22)),IF(T$25="P",IF(T$34="O",MIN('Pricing Params'!$N$2,IF(T23=T24,T23,FORECAST(T20,T23:T24,T21:T22))),MIN('Pricing Params'!$O$2,IF(T23=T24,T23,FORECAST(T20,T23:T24,T21:T22)))),IF(T$34="O",MIN('Pricing Params'!$O$2,IF(T23=T24,T23,FORECAST(T20,T23:T24,T21:T22))),MIN('Pricing Params'!$N$2,IF(T23=T24,T23,FORECAST(T20,T23:T24,T21:T22))))))</f>
        <v>6.5000000000000002E-2</v>
      </c>
      <c r="U29" s="245">
        <f>IF(U34="OLD",IF(U23=U24,U23,FORECAST(U20,U23:U24,U21:U22)),IF(U$25="P",IF(U$34="O",MIN('Pricing Params'!$N$2,IF(U23=U24,U23,FORECAST(U20,U23:U24,U21:U22))),MIN('Pricing Params'!$O$2,IF(U23=U24,U23,FORECAST(U20,U23:U24,U21:U22)))),IF(U$34="O",MIN('Pricing Params'!$O$2,IF(U23=U24,U23,FORECAST(U20,U23:U24,U21:U22))),MIN('Pricing Params'!$N$2,IF(U23=U24,U23,FORECAST(U20,U23:U24,U21:U22))))))</f>
        <v>6.5000000000000002E-2</v>
      </c>
      <c r="V29" s="245">
        <f>IF(V34="OLD",IF(V23=V24,V23,FORECAST(V20,V23:V24,V21:V22)),IF(V$25="P",IF(V$34="O",MIN('Pricing Params'!$N$2,IF(V23=V24,V23,FORECAST(V20,V23:V24,V21:V22))),MIN('Pricing Params'!$O$2,IF(V23=V24,V23,FORECAST(V20,V23:V24,V21:V22)))),IF(V$34="O",MIN('Pricing Params'!$O$2,IF(V23=V24,V23,FORECAST(V20,V23:V24,V21:V22))),MIN('Pricing Params'!$N$2,IF(V23=V24,V23,FORECAST(V20,V23:V24,V21:V22))))))</f>
        <v>6.5000000000000002E-2</v>
      </c>
      <c r="W29" s="245">
        <f>IF(W34="OLD",IF(W23=W24,W23,FORECAST(W20,W23:W24,W21:W22)),IF(W$25="P",IF(W$34="O",MIN('Pricing Params'!$N$2,IF(W23=W24,W23,FORECAST(W20,W23:W24,W21:W22))),MIN('Pricing Params'!$O$2,IF(W23=W24,W23,FORECAST(W20,W23:W24,W21:W22)))),IF(W$34="O",MIN('Pricing Params'!$O$2,IF(W23=W24,W23,FORECAST(W20,W23:W24,W21:W22))),MIN('Pricing Params'!$N$2,IF(W23=W24,W23,FORECAST(W20,W23:W24,W21:W22))))))</f>
        <v>6.5000000000000002E-2</v>
      </c>
      <c r="X29" s="245">
        <f>IF(X34="OLD",IF(X23=X24,X23,FORECAST(X20,X23:X24,X21:X22)),IF(X$25="P",IF(X$34="O",MIN('Pricing Params'!$N$2,IF(X23=X24,X23,FORECAST(X20,X23:X24,X21:X22))),MIN('Pricing Params'!$O$2,IF(X23=X24,X23,FORECAST(X20,X23:X24,X21:X22)))),IF(X$34="O",MIN('Pricing Params'!$O$2,IF(X23=X24,X23,FORECAST(X20,X23:X24,X21:X22))),MIN('Pricing Params'!$N$2,IF(X23=X24,X23,FORECAST(X20,X23:X24,X21:X22))))))</f>
        <v>6.5000000000000002E-2</v>
      </c>
      <c r="Y29" s="245">
        <f>IF(Y34="OLD",IF(Y23=Y24,Y23,FORECAST(Y20,Y23:Y24,Y21:Y22)),IF(Y$25="P",IF(Y$34="O",MIN('Pricing Params'!$N$2,IF(Y23=Y24,Y23,FORECAST(Y20,Y23:Y24,Y21:Y22))),MIN('Pricing Params'!$O$2,IF(Y23=Y24,Y23,FORECAST(Y20,Y23:Y24,Y21:Y22)))),IF(Y$34="O",MIN('Pricing Params'!$O$2,IF(Y23=Y24,Y23,FORECAST(Y20,Y23:Y24,Y21:Y22))),MIN('Pricing Params'!$N$2,IF(Y23=Y24,Y23,FORECAST(Y20,Y23:Y24,Y21:Y22))))))</f>
        <v>6.5000000000000002E-2</v>
      </c>
      <c r="Z29" s="244">
        <f>IF(Z34="OLD",IF(Z23=Z24,Z23,FORECAST(Z20,Z23:Z24,Z21:Z22)),IF(Z$25="P",IF(Z$34="O",MIN('Pricing Params'!$N$2,IF(Z23=Z24,Z23,FORECAST(Z20,Z23:Z24,Z21:Z22))),MIN('Pricing Params'!$O$2,IF(Z23=Z24,Z23,FORECAST(Z20,Z23:Z24,Z21:Z22)))),IF(Z$34="O",MIN('Pricing Params'!$O$2,IF(Z23=Z24,Z23,FORECAST(Z20,Z23:Z24,Z21:Z22))),MIN('Pricing Params'!$N$2,IF(Z23=Z24,Z23,FORECAST(Z20,Z23:Z24,Z21:Z22))))))</f>
        <v>6.5000000000000002E-2</v>
      </c>
      <c r="AA29" s="244">
        <f>IF(AA34="OLD",IF(AA23=AA24,AA23,FORECAST(AA20,AA23:AA24,AA21:AA22)),IF(AA$25="P",IF(AA$34="O",MIN('Pricing Params'!$N$2,IF(AA23=AA24,AA23,FORECAST(AA20,AA23:AA24,AA21:AA22))),MIN('Pricing Params'!$O$2,IF(AA23=AA24,AA23,FORECAST(AA20,AA23:AA24,AA21:AA22)))),IF(AA$34="O",MIN('Pricing Params'!$O$2,IF(AA23=AA24,AA23,FORECAST(AA20,AA23:AA24,AA21:AA22))),MIN('Pricing Params'!$N$2,IF(AA23=AA24,AA23,FORECAST(AA20,AA23:AA24,AA21:AA22))))))</f>
        <v>6.5000000000000002E-2</v>
      </c>
      <c r="AB29" s="244">
        <f>IF(AB34="OLD",IF(AB23=AB24,AB23,FORECAST(AB20,AB23:AB24,AB21:AB22)),IF(AB$25="P",IF(AB$34="O",MIN('Pricing Params'!$N$2,IF(AB23=AB24,AB23,FORECAST(AB20,AB23:AB24,AB21:AB22))),MIN('Pricing Params'!$O$2,IF(AB23=AB24,AB23,FORECAST(AB20,AB23:AB24,AB21:AB22)))),IF(AB$34="O",MIN('Pricing Params'!$O$2,IF(AB23=AB24,AB23,FORECAST(AB20,AB23:AB24,AB21:AB22))),MIN('Pricing Params'!$N$2,IF(AB23=AB24,AB23,FORECAST(AB20,AB23:AB24,AB21:AB22))))))</f>
        <v>6.5000000000000002E-2</v>
      </c>
      <c r="AC29" s="244">
        <f>IF(AC34="OLD",IF(AC23=AC24,AC23,FORECAST(AC20,AC23:AC24,AC21:AC22)),IF(AC$25="P",IF(AC$34="O",MIN('Pricing Params'!$N$2,IF(AC23=AC24,AC23,FORECAST(AC20,AC23:AC24,AC21:AC22))),MIN('Pricing Params'!$O$2,IF(AC23=AC24,AC23,FORECAST(AC20,AC23:AC24,AC21:AC22)))),IF(AC$34="O",MIN('Pricing Params'!$O$2,IF(AC23=AC24,AC23,FORECAST(AC20,AC23:AC24,AC21:AC22))),MIN('Pricing Params'!$N$2,IF(AC23=AC24,AC23,FORECAST(AC20,AC23:AC24,AC21:AC22))))))</f>
        <v>6.5000000000000002E-2</v>
      </c>
      <c r="AD29" s="244">
        <f>IF(AD34="OLD",IF(AD23=AD24,AD23,FORECAST(AD20,AD23:AD24,AD21:AD22)),IF(AD$25="P",IF(AD$34="O",MIN('Pricing Params'!$N$2,IF(AD23=AD24,AD23,FORECAST(AD20,AD23:AD24,AD21:AD22))),MIN('Pricing Params'!$O$2,IF(AD23=AD24,AD23,FORECAST(AD20,AD23:AD24,AD21:AD22)))),IF(AD$34="O",MIN('Pricing Params'!$O$2,IF(AD23=AD24,AD23,FORECAST(AD20,AD23:AD24,AD21:AD22))),MIN('Pricing Params'!$N$2,IF(AD23=AD24,AD23,FORECAST(AD20,AD23:AD24,AD21:AD22))))))</f>
        <v>6.5000000000000002E-2</v>
      </c>
      <c r="AE29" s="244">
        <f>IF(AE34="OLD",IF(AE23=AE24,AE23,FORECAST(AE20,AE23:AE24,AE21:AE22)),IF(AE$25="P",IF(AE$34="O",MIN('Pricing Params'!$N$2,IF(AE23=AE24,AE23,FORECAST(AE20,AE23:AE24,AE21:AE22))),MIN('Pricing Params'!$O$2,IF(AE23=AE24,AE23,FORECAST(AE20,AE23:AE24,AE21:AE22)))),IF(AE$34="O",MIN('Pricing Params'!$O$2,IF(AE23=AE24,AE23,FORECAST(AE20,AE23:AE24,AE21:AE22))),MIN('Pricing Params'!$N$2,IF(AE23=AE24,AE23,FORECAST(AE20,AE23:AE24,AE21:AE22))))))</f>
        <v>6.5000000000000002E-2</v>
      </c>
      <c r="AF29" s="244">
        <f>IF(AF34="OLD",IF(AF23=AF24,AF23,FORECAST(AF20,AF23:AF24,AF21:AF22)),IF(AF$25="P",IF(AF$34="O",MIN('Pricing Params'!$N$2,IF(AF23=AF24,AF23,FORECAST(AF20,AF23:AF24,AF21:AF22))),MIN('Pricing Params'!$O$2,IF(AF23=AF24,AF23,FORECAST(AF20,AF23:AF24,AF21:AF22)))),IF(AF$34="O",MIN('Pricing Params'!$O$2,IF(AF23=AF24,AF23,FORECAST(AF20,AF23:AF24,AF21:AF22))),MIN('Pricing Params'!$N$2,IF(AF23=AF24,AF23,FORECAST(AF20,AF23:AF24,AF21:AF22))))))</f>
        <v>6.5000000000000002E-2</v>
      </c>
      <c r="AG29" s="244">
        <f>IF(AG34="OLD",IF(AG23=AG24,AG23,FORECAST(AG20,AG23:AG24,AG21:AG22)),IF(AG$25="P",IF(AG$34="O",MIN('Pricing Params'!$N$2,IF(AG23=AG24,AG23,FORECAST(AG20,AG23:AG24,AG21:AG22))),MIN('Pricing Params'!$O$2,IF(AG23=AG24,AG23,FORECAST(AG20,AG23:AG24,AG21:AG22)))),IF(AG$34="O",MIN('Pricing Params'!$O$2,IF(AG23=AG24,AG23,FORECAST(AG20,AG23:AG24,AG21:AG22))),MIN('Pricing Params'!$N$2,IF(AG23=AG24,AG23,FORECAST(AG20,AG23:AG24,AG21:AG22))))))</f>
        <v>6.5000000000000002E-2</v>
      </c>
      <c r="AH29" s="245">
        <f>IF(AH34="OLD",IF(AH23=AH24,AH23,FORECAST(AH20,AH23:AH24,AH21:AH22)),IF(AH$25="P",IF(AH$34="O",MIN('Pricing Params'!$N$2,IF(AH23=AH24,AH23,FORECAST(AH20,AH23:AH24,AH21:AH22))),MIN('Pricing Params'!$O$2,IF(AH23=AH24,AH23,FORECAST(AH20,AH23:AH24,AH21:AH22)))),IF(AH$34="O",MIN('Pricing Params'!$O$2,IF(AH23=AH24,AH23,FORECAST(AH20,AH23:AH24,AH21:AH22))),MIN('Pricing Params'!$N$2,IF(AH23=AH24,AH23,FORECAST(AH20,AH23:AH24,AH21:AH22))))))</f>
        <v>6.5000000000000002E-2</v>
      </c>
      <c r="AI29" s="245">
        <f>IF(AI34="OLD",IF(AI23=AI24,AI23,FORECAST(AI20,AI23:AI24,AI21:AI22)),IF(AI$25="P",IF(AI$34="O",MIN('Pricing Params'!$N$2,IF(AI23=AI24,AI23,FORECAST(AI20,AI23:AI24,AI21:AI22))),MIN('Pricing Params'!$O$2,IF(AI23=AI24,AI23,FORECAST(AI20,AI23:AI24,AI21:AI22)))),IF(AI$34="O",MIN('Pricing Params'!$O$2,IF(AI23=AI24,AI23,FORECAST(AI20,AI23:AI24,AI21:AI22))),MIN('Pricing Params'!$N$2,IF(AI23=AI24,AI23,FORECAST(AI20,AI23:AI24,AI21:AI22))))))</f>
        <v>6.5000000000000002E-2</v>
      </c>
      <c r="AJ29" s="245">
        <f>IF(AJ34="OLD",IF(AJ23=AJ24,AJ23,FORECAST(AJ20,AJ23:AJ24,AJ21:AJ22)),IF(AJ$25="P",IF(AJ$34="O",MIN('Pricing Params'!$N$2,IF(AJ23=AJ24,AJ23,FORECAST(AJ20,AJ23:AJ24,AJ21:AJ22))),MIN('Pricing Params'!$O$2,IF(AJ23=AJ24,AJ23,FORECAST(AJ20,AJ23:AJ24,AJ21:AJ22)))),IF(AJ$34="O",MIN('Pricing Params'!$O$2,IF(AJ23=AJ24,AJ23,FORECAST(AJ20,AJ23:AJ24,AJ21:AJ22))),MIN('Pricing Params'!$N$2,IF(AJ23=AJ24,AJ23,FORECAST(AJ20,AJ23:AJ24,AJ21:AJ22))))))</f>
        <v>6.5000000000000002E-2</v>
      </c>
      <c r="AK29" s="245">
        <f>IF(AK34="OLD",IF(AK23=AK24,AK23,FORECAST(AK20,AK23:AK24,AK21:AK22)),IF(AK$25="P",IF(AK$34="O",MIN('Pricing Params'!$N$2,IF(AK23=AK24,AK23,FORECAST(AK20,AK23:AK24,AK21:AK22))),MIN('Pricing Params'!$O$2,IF(AK23=AK24,AK23,FORECAST(AK20,AK23:AK24,AK21:AK22)))),IF(AK$34="O",MIN('Pricing Params'!$O$2,IF(AK23=AK24,AK23,FORECAST(AK20,AK23:AK24,AK21:AK22))),MIN('Pricing Params'!$N$2,IF(AK23=AK24,AK23,FORECAST(AK20,AK23:AK24,AK21:AK22))))))</f>
        <v>6.5000000000000002E-2</v>
      </c>
      <c r="AL29" s="245">
        <f>IF(AL34="OLD",IF(AL23=AL24,AL23,FORECAST(AL20,AL23:AL24,AL21:AL22)),IF(AL$25="P",IF(AL$34="O",MIN('Pricing Params'!$N$2,IF(AL23=AL24,AL23,FORECAST(AL20,AL23:AL24,AL21:AL22))),MIN('Pricing Params'!$O$2,IF(AL23=AL24,AL23,FORECAST(AL20,AL23:AL24,AL21:AL22)))),IF(AL$34="O",MIN('Pricing Params'!$O$2,IF(AL23=AL24,AL23,FORECAST(AL20,AL23:AL24,AL21:AL22))),MIN('Pricing Params'!$N$2,IF(AL23=AL24,AL23,FORECAST(AL20,AL23:AL24,AL21:AL22))))))</f>
        <v>6.5000000000000002E-2</v>
      </c>
      <c r="AM29" s="245">
        <f>IF(AM34="OLD",IF(AM23=AM24,AM23,FORECAST(AM20,AM23:AM24,AM21:AM22)),IF(AM$25="P",IF(AM$34="O",MIN('Pricing Params'!$N$2,IF(AM23=AM24,AM23,FORECAST(AM20,AM23:AM24,AM21:AM22))),MIN('Pricing Params'!$O$2,IF(AM23=AM24,AM23,FORECAST(AM20,AM23:AM24,AM21:AM22)))),IF(AM$34="O",MIN('Pricing Params'!$O$2,IF(AM23=AM24,AM23,FORECAST(AM20,AM23:AM24,AM21:AM22))),MIN('Pricing Params'!$N$2,IF(AM23=AM24,AM23,FORECAST(AM20,AM23:AM24,AM21:AM22))))))</f>
        <v>6.5000000000000002E-2</v>
      </c>
      <c r="AN29" s="245">
        <f>IF(AN34="OLD",IF(AN23=AN24,AN23,FORECAST(AN20,AN23:AN24,AN21:AN22)),IF(AN$25="P",IF(AN$34="O",MIN('Pricing Params'!$N$2,IF(AN23=AN24,AN23,FORECAST(AN20,AN23:AN24,AN21:AN22))),MIN('Pricing Params'!$O$2,IF(AN23=AN24,AN23,FORECAST(AN20,AN23:AN24,AN21:AN22)))),IF(AN$34="O",MIN('Pricing Params'!$O$2,IF(AN23=AN24,AN23,FORECAST(AN20,AN23:AN24,AN21:AN22))),MIN('Pricing Params'!$N$2,IF(AN23=AN24,AN23,FORECAST(AN20,AN23:AN24,AN21:AN22))))))</f>
        <v>6.5000000000000002E-2</v>
      </c>
      <c r="AO29" s="245">
        <f>IF(AO34="OLD",IF(AO23=AO24,AO23,FORECAST(AO20,AO23:AO24,AO21:AO22)),IF(AO$25="P",IF(AO$34="O",MIN('Pricing Params'!$N$2,IF(AO23=AO24,AO23,FORECAST(AO20,AO23:AO24,AO21:AO22))),MIN('Pricing Params'!$O$2,IF(AO23=AO24,AO23,FORECAST(AO20,AO23:AO24,AO21:AO22)))),IF(AO$34="O",MIN('Pricing Params'!$O$2,IF(AO23=AO24,AO23,FORECAST(AO20,AO23:AO24,AO21:AO22))),MIN('Pricing Params'!$N$2,IF(AO23=AO24,AO23,FORECAST(AO20,AO23:AO24,AO21:AO22))))))</f>
        <v>6.5000000000000002E-2</v>
      </c>
      <c r="AP29" s="245">
        <f>IF(AP34="OLD",IF(AP23=AP24,AP23,FORECAST(AP20,AP23:AP24,AP21:AP22)),IF(AP$25="P",IF(AP$34="O",MIN('Pricing Params'!$N$2,IF(AP23=AP24,AP23,FORECAST(AP20,AP23:AP24,AP21:AP22))),MIN('Pricing Params'!$O$2,IF(AP23=AP24,AP23,FORECAST(AP20,AP23:AP24,AP21:AP22)))),IF(AP$34="O",MIN('Pricing Params'!$O$2,IF(AP23=AP24,AP23,FORECAST(AP20,AP23:AP24,AP21:AP22))),MIN('Pricing Params'!$N$2,IF(AP23=AP24,AP23,FORECAST(AP20,AP23:AP24,AP21:AP22))))))</f>
        <v>6.5000000000000002E-2</v>
      </c>
      <c r="AQ29" s="245">
        <f>IF(AQ34="OLD",IF(AQ23=AQ24,AQ23,FORECAST(AQ20,AQ23:AQ24,AQ21:AQ22)),IF(AQ$25="P",IF(AQ$34="O",MIN('Pricing Params'!$N$2,IF(AQ23=AQ24,AQ23,FORECAST(AQ20,AQ23:AQ24,AQ21:AQ22))),MIN('Pricing Params'!$O$2,IF(AQ23=AQ24,AQ23,FORECAST(AQ20,AQ23:AQ24,AQ21:AQ22)))),IF(AQ$34="O",MIN('Pricing Params'!$O$2,IF(AQ23=AQ24,AQ23,FORECAST(AQ20,AQ23:AQ24,AQ21:AQ22))),MIN('Pricing Params'!$N$2,IF(AQ23=AQ24,AQ23,FORECAST(AQ20,AQ23:AQ24,AQ21:AQ22))))))</f>
        <v>6.5000000000000002E-2</v>
      </c>
      <c r="AR29" s="245">
        <f>IF(AR34="OLD",IF(AR23=AR24,AR23,FORECAST(AR20,AR23:AR24,AR21:AR22)),IF(AR$25="P",IF(AR$34="O",MIN('Pricing Params'!$N$2,IF(AR23=AR24,AR23,FORECAST(AR20,AR23:AR24,AR21:AR22))),MIN('Pricing Params'!$O$2,IF(AR23=AR24,AR23,FORECAST(AR20,AR23:AR24,AR21:AR22)))),IF(AR$34="O",MIN('Pricing Params'!$O$2,IF(AR23=AR24,AR23,FORECAST(AR20,AR23:AR24,AR21:AR22))),MIN('Pricing Params'!$N$2,IF(AR23=AR24,AR23,FORECAST(AR20,AR23:AR24,AR21:AR22))))))</f>
        <v>6.5000000000000002E-2</v>
      </c>
      <c r="AS29" s="245">
        <f>IF(AS34="OLD",IF(AS23=AS24,AS23,FORECAST(AS20,AS23:AS24,AS21:AS22)),IF(AS$25="P",IF(AS$34="O",MIN('Pricing Params'!$N$2,IF(AS23=AS24,AS23,FORECAST(AS20,AS23:AS24,AS21:AS22))),MIN('Pricing Params'!$O$2,IF(AS23=AS24,AS23,FORECAST(AS20,AS23:AS24,AS21:AS22)))),IF(AS$34="O",MIN('Pricing Params'!$O$2,IF(AS23=AS24,AS23,FORECAST(AS20,AS23:AS24,AS21:AS22))),MIN('Pricing Params'!$N$2,IF(AS23=AS24,AS23,FORECAST(AS20,AS23:AS24,AS21:AS22))))))</f>
        <v>6.5000000000000002E-2</v>
      </c>
      <c r="AT29" s="245">
        <f>IF(AT34="OLD",IF(AT23=AT24,AT23,FORECAST(AT20,AT23:AT24,AT21:AT22)),IF(AT$25="P",IF(AT$34="O",MIN('Pricing Params'!$N$2,IF(AT23=AT24,AT23,FORECAST(AT20,AT23:AT24,AT21:AT22))),MIN('Pricing Params'!$O$2,IF(AT23=AT24,AT23,FORECAST(AT20,AT23:AT24,AT21:AT22)))),IF(AT$34="O",MIN('Pricing Params'!$O$2,IF(AT23=AT24,AT23,FORECAST(AT20,AT23:AT24,AT21:AT22))),MIN('Pricing Params'!$N$2,IF(AT23=AT24,AT23,FORECAST(AT20,AT23:AT24,AT21:AT22))))))</f>
        <v>6.5000000000000002E-2</v>
      </c>
      <c r="AU29" s="245">
        <f>IF(AU34="OLD",IF(AU23=AU24,AU23,FORECAST(AU20,AU23:AU24,AU21:AU22)),IF(AU$25="P",IF(AU$34="O",MIN('Pricing Params'!$N$2,IF(AU23=AU24,AU23,FORECAST(AU20,AU23:AU24,AU21:AU22))),MIN('Pricing Params'!$O$2,IF(AU23=AU24,AU23,FORECAST(AU20,AU23:AU24,AU21:AU22)))),IF(AU$34="O",MIN('Pricing Params'!$O$2,IF(AU23=AU24,AU23,FORECAST(AU20,AU23:AU24,AU21:AU22))),MIN('Pricing Params'!$N$2,IF(AU23=AU24,AU23,FORECAST(AU20,AU23:AU24,AU21:AU22))))))</f>
        <v>6.5000000000000002E-2</v>
      </c>
      <c r="AV29" s="245">
        <f>IF(AV34="OLD",IF(AV23=AV24,AV23,FORECAST(AV20,AV23:AV24,AV21:AV22)),IF(AV$25="P",IF(AV$34="O",MIN('Pricing Params'!$N$2,IF(AV23=AV24,AV23,FORECAST(AV20,AV23:AV24,AV21:AV22))),MIN('Pricing Params'!$O$2,IF(AV23=AV24,AV23,FORECAST(AV20,AV23:AV24,AV21:AV22)))),IF(AV$34="O",MIN('Pricing Params'!$O$2,IF(AV23=AV24,AV23,FORECAST(AV20,AV23:AV24,AV21:AV22))),MIN('Pricing Params'!$N$2,IF(AV23=AV24,AV23,FORECAST(AV20,AV23:AV24,AV21:AV22))))))</f>
        <v>6.5000000000000002E-2</v>
      </c>
      <c r="AW29" s="245">
        <f>IF(AW34="OLD",IF(AW23=AW24,AW23,FORECAST(AW20,AW23:AW24,AW21:AW22)),IF(AW$25="P",IF(AW$34="O",MIN('Pricing Params'!$N$2,IF(AW23=AW24,AW23,FORECAST(AW20,AW23:AW24,AW21:AW22))),MIN('Pricing Params'!$O$2,IF(AW23=AW24,AW23,FORECAST(AW20,AW23:AW24,AW21:AW22)))),IF(AW$34="O",MIN('Pricing Params'!$O$2,IF(AW23=AW24,AW23,FORECAST(AW20,AW23:AW24,AW21:AW22))),MIN('Pricing Params'!$N$2,IF(AW23=AW24,AW23,FORECAST(AW20,AW23:AW24,AW21:AW22))))))</f>
        <v>6.5000000000000002E-2</v>
      </c>
      <c r="AX29" s="243">
        <f>IF(AX34="OLD",IF(AX23=AX24,AX23,FORECAST(AX20,AX23:AX24,AX21:AX22)),IF(AX$25="P",IF(AX$34="O",MIN('Pricing Params'!$N$2,IF(AX23=AX24,AX23,FORECAST(AX20,AX23:AX24,AX21:AX22))),MIN('Pricing Params'!$O$2,IF(AX23=AX24,AX23,FORECAST(AX20,AX23:AX24,AX21:AX22)))),IF(AX$34="O",MIN('Pricing Params'!$O$2,IF(AX23=AX24,AX23,FORECAST(AX20,AX23:AX24,AX21:AX22))),MIN('Pricing Params'!$N$2,IF(AX23=AX24,AX23,FORECAST(AX20,AX23:AX24,AX21:AX22))))))</f>
        <v>6.5000000000000002E-2</v>
      </c>
      <c r="AY29" s="243">
        <f>IF(AY34="OLD",IF(AY23=AY24,AY23,FORECAST(AY20,AY23:AY24,AY21:AY22)),IF(AY$25="P",IF(AY$34="O",MIN('Pricing Params'!$N$2,IF(AY23=AY24,AY23,FORECAST(AY20,AY23:AY24,AY21:AY22))),MIN('Pricing Params'!$O$2,IF(AY23=AY24,AY23,FORECAST(AY20,AY23:AY24,AY21:AY22)))),IF(AY$34="O",MIN('Pricing Params'!$O$2,IF(AY23=AY24,AY23,FORECAST(AY20,AY23:AY24,AY21:AY22))),MIN('Pricing Params'!$N$2,IF(AY23=AY24,AY23,FORECAST(AY20,AY23:AY24,AY21:AY22))))))</f>
        <v>6.5000000000000002E-2</v>
      </c>
      <c r="AZ29" s="243">
        <f>IF(AZ34="OLD",IF(AZ23=AZ24,AZ23,FORECAST(AZ20,AZ23:AZ24,AZ21:AZ22)),IF(AZ$25="P",IF(AZ$34="O",MIN('Pricing Params'!$N$2,IF(AZ23=AZ24,AZ23,FORECAST(AZ20,AZ23:AZ24,AZ21:AZ22))),MIN('Pricing Params'!$O$2,IF(AZ23=AZ24,AZ23,FORECAST(AZ20,AZ23:AZ24,AZ21:AZ22)))),IF(AZ$34="O",MIN('Pricing Params'!$O$2,IF(AZ23=AZ24,AZ23,FORECAST(AZ20,AZ23:AZ24,AZ21:AZ22))),MIN('Pricing Params'!$N$2,IF(AZ23=AZ24,AZ23,FORECAST(AZ20,AZ23:AZ24,AZ21:AZ22))))))</f>
        <v>6.5000000000000002E-2</v>
      </c>
      <c r="BA29" s="243">
        <f>IF(BA34="OLD",IF(BA23=BA24,BA23,FORECAST(BA20,BA23:BA24,BA21:BA22)),IF(BA$25="P",IF(BA$34="O",MIN('Pricing Params'!$N$2,IF(BA23=BA24,BA23,FORECAST(BA20,BA23:BA24,BA21:BA22))),MIN('Pricing Params'!$O$2,IF(BA23=BA24,BA23,FORECAST(BA20,BA23:BA24,BA21:BA22)))),IF(BA$34="O",MIN('Pricing Params'!$O$2,IF(BA23=BA24,BA23,FORECAST(BA20,BA23:BA24,BA21:BA22))),MIN('Pricing Params'!$N$2,IF(BA23=BA24,BA23,FORECAST(BA20,BA23:BA24,BA21:BA22))))))</f>
        <v>6.5000000000000002E-2</v>
      </c>
      <c r="BB29" s="243">
        <f>IF(BB34="OLD",IF(BB23=BB24,BB23,FORECAST(BB20,BB23:BB24,BB21:BB22)),IF(BB$25="P",IF(BB$34="O",MIN('Pricing Params'!$N$2,IF(BB23=BB24,BB23,FORECAST(BB20,BB23:BB24,BB21:BB22))),MIN('Pricing Params'!$O$2,IF(BB23=BB24,BB23,FORECAST(BB20,BB23:BB24,BB21:BB22)))),IF(BB$34="O",MIN('Pricing Params'!$O$2,IF(BB23=BB24,BB23,FORECAST(BB20,BB23:BB24,BB21:BB22))),MIN('Pricing Params'!$N$2,IF(BB23=BB24,BB23,FORECAST(BB20,BB23:BB24,BB21:BB22))))))</f>
        <v>6.5000000000000002E-2</v>
      </c>
      <c r="BC29" s="243">
        <f>IF(BC34="OLD",IF(BC23=BC24,BC23,FORECAST(BC20,BC23:BC24,BC21:BC22)),IF(BC$25="P",IF(BC$34="O",MIN('Pricing Params'!$N$2,IF(BC23=BC24,BC23,FORECAST(BC20,BC23:BC24,BC21:BC22))),MIN('Pricing Params'!$O$2,IF(BC23=BC24,BC23,FORECAST(BC20,BC23:BC24,BC21:BC22)))),IF(BC$34="O",MIN('Pricing Params'!$O$2,IF(BC23=BC24,BC23,FORECAST(BC20,BC23:BC24,BC21:BC22))),MIN('Pricing Params'!$N$2,IF(BC23=BC24,BC23,FORECAST(BC20,BC23:BC24,BC21:BC22))))))</f>
        <v>6.5000000000000002E-2</v>
      </c>
      <c r="BD29" s="243">
        <f>IF(BD34="OLD",IF(BD23=BD24,BD23,FORECAST(BD20,BD23:BD24,BD21:BD22)),IF(BD$25="P",IF(BD$34="O",MIN('Pricing Params'!$N$2,IF(BD23=BD24,BD23,FORECAST(BD20,BD23:BD24,BD21:BD22))),MIN('Pricing Params'!$O$2,IF(BD23=BD24,BD23,FORECAST(BD20,BD23:BD24,BD21:BD22)))),IF(BD$34="O",MIN('Pricing Params'!$O$2,IF(BD23=BD24,BD23,FORECAST(BD20,BD23:BD24,BD21:BD22))),MIN('Pricing Params'!$N$2,IF(BD23=BD24,BD23,FORECAST(BD20,BD23:BD24,BD21:BD22))))))</f>
        <v>6.5000000000000002E-2</v>
      </c>
      <c r="BE29" s="243">
        <f>IF(BE34="OLD",IF(BE23=BE24,BE23,FORECAST(BE20,BE23:BE24,BE21:BE22)),IF(BE$25="P",IF(BE$34="O",MIN('Pricing Params'!$N$2,IF(BE23=BE24,BE23,FORECAST(BE20,BE23:BE24,BE21:BE22))),MIN('Pricing Params'!$O$2,IF(BE23=BE24,BE23,FORECAST(BE20,BE23:BE24,BE21:BE22)))),IF(BE$34="O",MIN('Pricing Params'!$O$2,IF(BE23=BE24,BE23,FORECAST(BE20,BE23:BE24,BE21:BE22))),MIN('Pricing Params'!$N$2,IF(BE23=BE24,BE23,FORECAST(BE20,BE23:BE24,BE21:BE22))))))</f>
        <v>6.5000000000000002E-2</v>
      </c>
      <c r="BF29" s="245">
        <f>IF(BF34="OLD",IF(BF23=BF24,BF23,FORECAST(BF20,BF23:BF24,BF21:BF22)),IF(BF$25="P",IF(BF$34="O",MIN('Pricing Params'!$N$2,IF(BF23=BF24,BF23,FORECAST(BF20,BF23:BF24,BF21:BF22))),MIN('Pricing Params'!$O$2,IF(BF23=BF24,BF23,FORECAST(BF20,BF23:BF24,BF21:BF22)))),IF(BF$34="O",MIN('Pricing Params'!$O$2,IF(BF23=BF24,BF23,FORECAST(BF20,BF23:BF24,BF21:BF22))),MIN('Pricing Params'!$N$2,IF(BF23=BF24,BF23,FORECAST(BF20,BF23:BF24,BF21:BF22))))))</f>
        <v>6.5000000000000002E-2</v>
      </c>
      <c r="BG29" s="245">
        <f>IF(BG34="OLD",IF(BG23=BG24,BG23,FORECAST(BG20,BG23:BG24,BG21:BG22)),IF(BG$25="P",IF(BG$34="O",MIN('Pricing Params'!$N$2,IF(BG23=BG24,BG23,FORECAST(BG20,BG23:BG24,BG21:BG22))),MIN('Pricing Params'!$O$2,IF(BG23=BG24,BG23,FORECAST(BG20,BG23:BG24,BG21:BG22)))),IF(BG$34="O",MIN('Pricing Params'!$O$2,IF(BG23=BG24,BG23,FORECAST(BG20,BG23:BG24,BG21:BG22))),MIN('Pricing Params'!$N$2,IF(BG23=BG24,BG23,FORECAST(BG20,BG23:BG24,BG21:BG22))))))</f>
        <v>6.5000000000000002E-2</v>
      </c>
      <c r="BH29" s="245">
        <f>IF(BH34="OLD",IF(BH23=BH24,BH23,FORECAST(BH20,BH23:BH24,BH21:BH22)),IF(BH$25="P",IF(BH$34="O",MIN('Pricing Params'!$N$2,IF(BH23=BH24,BH23,FORECAST(BH20,BH23:BH24,BH21:BH22))),MIN('Pricing Params'!$O$2,IF(BH23=BH24,BH23,FORECAST(BH20,BH23:BH24,BH21:BH22)))),IF(BH$34="O",MIN('Pricing Params'!$O$2,IF(BH23=BH24,BH23,FORECAST(BH20,BH23:BH24,BH21:BH22))),MIN('Pricing Params'!$N$2,IF(BH23=BH24,BH23,FORECAST(BH20,BH23:BH24,BH21:BH22))))))</f>
        <v>6.5000000000000002E-2</v>
      </c>
      <c r="BI29" s="245">
        <f>IF(BI34="OLD",IF(BI23=BI24,BI23,FORECAST(BI20,BI23:BI24,BI21:BI22)),IF(BI$25="P",IF(BI$34="O",MIN('Pricing Params'!$N$2,IF(BI23=BI24,BI23,FORECAST(BI20,BI23:BI24,BI21:BI22))),MIN('Pricing Params'!$O$2,IF(BI23=BI24,BI23,FORECAST(BI20,BI23:BI24,BI21:BI22)))),IF(BI$34="O",MIN('Pricing Params'!$O$2,IF(BI23=BI24,BI23,FORECAST(BI20,BI23:BI24,BI21:BI22))),MIN('Pricing Params'!$N$2,IF(BI23=BI24,BI23,FORECAST(BI20,BI23:BI24,BI21:BI22))))))</f>
        <v>6.5000000000000002E-2</v>
      </c>
      <c r="BJ29" s="245">
        <f>IF(BJ34="OLD",IF(BJ23=BJ24,BJ23,FORECAST(BJ20,BJ23:BJ24,BJ21:BJ22)),IF(BJ$25="P",IF(BJ$34="O",MIN('Pricing Params'!$N$2,IF(BJ23=BJ24,BJ23,FORECAST(BJ20,BJ23:BJ24,BJ21:BJ22))),MIN('Pricing Params'!$O$2,IF(BJ23=BJ24,BJ23,FORECAST(BJ20,BJ23:BJ24,BJ21:BJ22)))),IF(BJ$34="O",MIN('Pricing Params'!$O$2,IF(BJ23=BJ24,BJ23,FORECAST(BJ20,BJ23:BJ24,BJ21:BJ22))),MIN('Pricing Params'!$N$2,IF(BJ23=BJ24,BJ23,FORECAST(BJ20,BJ23:BJ24,BJ21:BJ22))))))</f>
        <v>6.5000000000000002E-2</v>
      </c>
      <c r="BK29" s="245">
        <f>IF(BK34="OLD",IF(BK23=BK24,BK23,FORECAST(BK20,BK23:BK24,BK21:BK22)),IF(BK$25="P",IF(BK$34="O",MIN('Pricing Params'!$N$2,IF(BK23=BK24,BK23,FORECAST(BK20,BK23:BK24,BK21:BK22))),MIN('Pricing Params'!$O$2,IF(BK23=BK24,BK23,FORECAST(BK20,BK23:BK24,BK21:BK22)))),IF(BK$34="O",MIN('Pricing Params'!$O$2,IF(BK23=BK24,BK23,FORECAST(BK20,BK23:BK24,BK21:BK22))),MIN('Pricing Params'!$N$2,IF(BK23=BK24,BK23,FORECAST(BK20,BK23:BK24,BK21:BK22))))))</f>
        <v>6.5000000000000002E-2</v>
      </c>
      <c r="BL29" s="245">
        <f>IF(BL34="OLD",IF(BL23=BL24,BL23,FORECAST(BL20,BL23:BL24,BL21:BL22)),IF(BL$25="P",IF(BL$34="O",MIN('Pricing Params'!$N$2,IF(BL23=BL24,BL23,FORECAST(BL20,BL23:BL24,BL21:BL22))),MIN('Pricing Params'!$O$2,IF(BL23=BL24,BL23,FORECAST(BL20,BL23:BL24,BL21:BL22)))),IF(BL$34="O",MIN('Pricing Params'!$O$2,IF(BL23=BL24,BL23,FORECAST(BL20,BL23:BL24,BL21:BL22))),MIN('Pricing Params'!$N$2,IF(BL23=BL24,BL23,FORECAST(BL20,BL23:BL24,BL21:BL22))))))</f>
        <v>6.5000000000000002E-2</v>
      </c>
      <c r="BM29" s="245">
        <f>IF(BM34="OLD",IF(BM23=BM24,BM23,FORECAST(BM20,BM23:BM24,BM21:BM22)),IF(BM$25="P",IF(BM$34="O",MIN('Pricing Params'!$N$2,IF(BM23=BM24,BM23,FORECAST(BM20,BM23:BM24,BM21:BM22))),MIN('Pricing Params'!$O$2,IF(BM23=BM24,BM23,FORECAST(BM20,BM23:BM24,BM21:BM22)))),IF(BM$34="O",MIN('Pricing Params'!$O$2,IF(BM23=BM24,BM23,FORECAST(BM20,BM23:BM24,BM21:BM22))),MIN('Pricing Params'!$N$2,IF(BM23=BM24,BM23,FORECAST(BM20,BM23:BM24,BM21:BM22))))))</f>
        <v>6.5000000000000002E-2</v>
      </c>
      <c r="BN29" s="245">
        <f>IF(BN34="OLD",IF(BN23=BN24,BN23,FORECAST(BN20,BN23:BN24,BN21:BN22)),IF(BN$25="P",IF(BN$34="O",MIN('Pricing Params'!$N$2,IF(BN23=BN24,BN23,FORECAST(BN20,BN23:BN24,BN21:BN22))),MIN('Pricing Params'!$O$2,IF(BN23=BN24,BN23,FORECAST(BN20,BN23:BN24,BN21:BN22)))),IF(BN$34="O",MIN('Pricing Params'!$O$2,IF(BN23=BN24,BN23,FORECAST(BN20,BN23:BN24,BN21:BN22))),MIN('Pricing Params'!$N$2,IF(BN23=BN24,BN23,FORECAST(BN20,BN23:BN24,BN21:BN22))))))</f>
        <v>6.5000000000000002E-2</v>
      </c>
      <c r="BO29" s="245">
        <f>IF(BO34="OLD",IF(BO23=BO24,BO23,FORECAST(BO20,BO23:BO24,BO21:BO22)),IF(BO$25="P",IF(BO$34="O",MIN('Pricing Params'!$N$2,IF(BO23=BO24,BO23,FORECAST(BO20,BO23:BO24,BO21:BO22))),MIN('Pricing Params'!$O$2,IF(BO23=BO24,BO23,FORECAST(BO20,BO23:BO24,BO21:BO22)))),IF(BO$34="O",MIN('Pricing Params'!$O$2,IF(BO23=BO24,BO23,FORECAST(BO20,BO23:BO24,BO21:BO22))),MIN('Pricing Params'!$N$2,IF(BO23=BO24,BO23,FORECAST(BO20,BO23:BO24,BO21:BO22))))))</f>
        <v>6.5000000000000002E-2</v>
      </c>
      <c r="BP29" s="245">
        <f>IF(BP34="OLD",IF(BP23=BP24,BP23,FORECAST(BP20,BP23:BP24,BP21:BP22)),IF(BP$25="P",IF(BP$34="O",MIN('Pricing Params'!$N$2,IF(BP23=BP24,BP23,FORECAST(BP20,BP23:BP24,BP21:BP22))),MIN('Pricing Params'!$O$2,IF(BP23=BP24,BP23,FORECAST(BP20,BP23:BP24,BP21:BP22)))),IF(BP$34="O",MIN('Pricing Params'!$O$2,IF(BP23=BP24,BP23,FORECAST(BP20,BP23:BP24,BP21:BP22))),MIN('Pricing Params'!$N$2,IF(BP23=BP24,BP23,FORECAST(BP20,BP23:BP24,BP21:BP22))))))</f>
        <v>6.5000000000000002E-2</v>
      </c>
      <c r="BQ29" s="245">
        <f>IF(BQ34="OLD",IF(BQ23=BQ24,BQ23,FORECAST(BQ20,BQ23:BQ24,BQ21:BQ22)),IF(BQ$25="P",IF(BQ$34="O",MIN('Pricing Params'!$N$2,IF(BQ23=BQ24,BQ23,FORECAST(BQ20,BQ23:BQ24,BQ21:BQ22))),MIN('Pricing Params'!$O$2,IF(BQ23=BQ24,BQ23,FORECAST(BQ20,BQ23:BQ24,BQ21:BQ22)))),IF(BQ$34="O",MIN('Pricing Params'!$O$2,IF(BQ23=BQ24,BQ23,FORECAST(BQ20,BQ23:BQ24,BQ21:BQ22))),MIN('Pricing Params'!$N$2,IF(BQ23=BQ24,BQ23,FORECAST(BQ20,BQ23:BQ24,BQ21:BQ22))))))</f>
        <v>6.5000000000000002E-2</v>
      </c>
      <c r="BR29" s="245">
        <f>IF(BR34="OLD",IF(BR23=BR24,BR23,FORECAST(BR20,BR23:BR24,BR21:BR22)),IF(BR$25="P",IF(BR$34="O",MIN('Pricing Params'!$N$2,IF(BR23=BR24,BR23,FORECAST(BR20,BR23:BR24,BR21:BR22))),MIN('Pricing Params'!$O$2,IF(BR23=BR24,BR23,FORECAST(BR20,BR23:BR24,BR21:BR22)))),IF(BR$34="O",MIN('Pricing Params'!$O$2,IF(BR23=BR24,BR23,FORECAST(BR20,BR23:BR24,BR21:BR22))),MIN('Pricing Params'!$N$2,IF(BR23=BR24,BR23,FORECAST(BR20,BR23:BR24,BR21:BR22))))))</f>
        <v>6.5000000000000002E-2</v>
      </c>
      <c r="BS29" s="245">
        <f>IF(BS34="OLD",IF(BS23=BS24,BS23,FORECAST(BS20,BS23:BS24,BS21:BS22)),IF(BS$25="P",IF(BS$34="O",MIN('Pricing Params'!$N$2,IF(BS23=BS24,BS23,FORECAST(BS20,BS23:BS24,BS21:BS22))),MIN('Pricing Params'!$O$2,IF(BS23=BS24,BS23,FORECAST(BS20,BS23:BS24,BS21:BS22)))),IF(BS$34="O",MIN('Pricing Params'!$O$2,IF(BS23=BS24,BS23,FORECAST(BS20,BS23:BS24,BS21:BS22))),MIN('Pricing Params'!$N$2,IF(BS23=BS24,BS23,FORECAST(BS20,BS23:BS24,BS21:BS22))))))</f>
        <v>6.5000000000000002E-2</v>
      </c>
      <c r="BT29" s="245">
        <f>IF(BT34="OLD",IF(BT23=BT24,BT23,FORECAST(BT20,BT23:BT24,BT21:BT22)),IF(BT$25="P",IF(BT$34="O",MIN('Pricing Params'!$N$2,IF(BT23=BT24,BT23,FORECAST(BT20,BT23:BT24,BT21:BT22))),MIN('Pricing Params'!$O$2,IF(BT23=BT24,BT23,FORECAST(BT20,BT23:BT24,BT21:BT22)))),IF(BT$34="O",MIN('Pricing Params'!$O$2,IF(BT23=BT24,BT23,FORECAST(BT20,BT23:BT24,BT21:BT22))),MIN('Pricing Params'!$N$2,IF(BT23=BT24,BT23,FORECAST(BT20,BT23:BT24,BT21:BT22))))))</f>
        <v>6.5000000000000002E-2</v>
      </c>
      <c r="BU29" s="245">
        <f>IF(BU34="OLD",IF(BU23=BU24,BU23,FORECAST(BU20,BU23:BU24,BU21:BU22)),IF(BU$25="P",IF(BU$34="O",MIN('Pricing Params'!$N$2,IF(BU23=BU24,BU23,FORECAST(BU20,BU23:BU24,BU21:BU22))),MIN('Pricing Params'!$O$2,IF(BU23=BU24,BU23,FORECAST(BU20,BU23:BU24,BU21:BU22)))),IF(BU$34="O",MIN('Pricing Params'!$O$2,IF(BU23=BU24,BU23,FORECAST(BU20,BU23:BU24,BU21:BU22))),MIN('Pricing Params'!$N$2,IF(BU23=BU24,BU23,FORECAST(BU20,BU23:BU24,BU21:BU22))))))</f>
        <v>6.5000000000000002E-2</v>
      </c>
      <c r="BV29" s="244">
        <f>IF(BV34="OLD",IF(BV23=BV24,BV23,FORECAST(BV20,BV23:BV24,BV21:BV22)),IF(BV$25="P",IF(BV$34="O",MIN('Pricing Params'!$N$2,IF(BV23=BV24,BV23,FORECAST(BV20,BV23:BV24,BV21:BV22))),MIN('Pricing Params'!$O$2,IF(BV23=BV24,BV23,FORECAST(BV20,BV23:BV24,BV21:BV22)))),IF(BV$34="O",MIN('Pricing Params'!$O$2,IF(BV23=BV24,BV23,FORECAST(BV20,BV23:BV24,BV21:BV22))),MIN('Pricing Params'!$N$2,IF(BV23=BV24,BV23,FORECAST(BV20,BV23:BV24,BV21:BV22))))))</f>
        <v>6.5000000000000002E-2</v>
      </c>
      <c r="BW29" s="244">
        <f>IF(BW34="OLD",IF(BW23=BW24,BW23,FORECAST(BW20,BW23:BW24,BW21:BW22)),IF(BW$25="P",IF(BW$34="O",MIN('Pricing Params'!$N$2,IF(BW23=BW24,BW23,FORECAST(BW20,BW23:BW24,BW21:BW22))),MIN('Pricing Params'!$O$2,IF(BW23=BW24,BW23,FORECAST(BW20,BW23:BW24,BW21:BW22)))),IF(BW$34="O",MIN('Pricing Params'!$O$2,IF(BW23=BW24,BW23,FORECAST(BW20,BW23:BW24,BW21:BW22))),MIN('Pricing Params'!$N$2,IF(BW23=BW24,BW23,FORECAST(BW20,BW23:BW24,BW21:BW22))))))</f>
        <v>6.5000000000000002E-2</v>
      </c>
      <c r="BX29" s="244">
        <f>IF(BX34="OLD",IF(BX23=BX24,BX23,FORECAST(BX20,BX23:BX24,BX21:BX22)),IF(BX$25="P",IF(BX$34="O",MIN('Pricing Params'!$N$2,IF(BX23=BX24,BX23,FORECAST(BX20,BX23:BX24,BX21:BX22))),MIN('Pricing Params'!$O$2,IF(BX23=BX24,BX23,FORECAST(BX20,BX23:BX24,BX21:BX22)))),IF(BX$34="O",MIN('Pricing Params'!$O$2,IF(BX23=BX24,BX23,FORECAST(BX20,BX23:BX24,BX21:BX22))),MIN('Pricing Params'!$N$2,IF(BX23=BX24,BX23,FORECAST(BX20,BX23:BX24,BX21:BX22))))))</f>
        <v>6.5000000000000002E-2</v>
      </c>
      <c r="BY29" s="244">
        <f>IF(BY34="OLD",IF(BY23=BY24,BY23,FORECAST(BY20,BY23:BY24,BY21:BY22)),IF(BY$25="P",IF(BY$34="O",MIN('Pricing Params'!$N$2,IF(BY23=BY24,BY23,FORECAST(BY20,BY23:BY24,BY21:BY22))),MIN('Pricing Params'!$O$2,IF(BY23=BY24,BY23,FORECAST(BY20,BY23:BY24,BY21:BY22)))),IF(BY$34="O",MIN('Pricing Params'!$O$2,IF(BY23=BY24,BY23,FORECAST(BY20,BY23:BY24,BY21:BY22))),MIN('Pricing Params'!$N$2,IF(BY23=BY24,BY23,FORECAST(BY20,BY23:BY24,BY21:BY22))))))</f>
        <v>6.5000000000000002E-2</v>
      </c>
      <c r="BZ29" s="244">
        <f>IF(BZ34="OLD",IF(BZ23=BZ24,BZ23,FORECAST(BZ20,BZ23:BZ24,BZ21:BZ22)),IF(BZ$25="P",IF(BZ$34="O",MIN('Pricing Params'!$N$2,IF(BZ23=BZ24,BZ23,FORECAST(BZ20,BZ23:BZ24,BZ21:BZ22))),MIN('Pricing Params'!$O$2,IF(BZ23=BZ24,BZ23,FORECAST(BZ20,BZ23:BZ24,BZ21:BZ22)))),IF(BZ$34="O",MIN('Pricing Params'!$O$2,IF(BZ23=BZ24,BZ23,FORECAST(BZ20,BZ23:BZ24,BZ21:BZ22))),MIN('Pricing Params'!$N$2,IF(BZ23=BZ24,BZ23,FORECAST(BZ20,BZ23:BZ24,BZ21:BZ22))))))</f>
        <v>6.5000000000000002E-2</v>
      </c>
      <c r="CA29" s="244">
        <f>IF(CA34="OLD",IF(CA23=CA24,CA23,FORECAST(CA20,CA23:CA24,CA21:CA22)),IF(CA$25="P",IF(CA$34="O",MIN('Pricing Params'!$N$2,IF(CA23=CA24,CA23,FORECAST(CA20,CA23:CA24,CA21:CA22))),MIN('Pricing Params'!$O$2,IF(CA23=CA24,CA23,FORECAST(CA20,CA23:CA24,CA21:CA22)))),IF(CA$34="O",MIN('Pricing Params'!$O$2,IF(CA23=CA24,CA23,FORECAST(CA20,CA23:CA24,CA21:CA22))),MIN('Pricing Params'!$N$2,IF(CA23=CA24,CA23,FORECAST(CA20,CA23:CA24,CA21:CA22))))))</f>
        <v>6.5000000000000002E-2</v>
      </c>
      <c r="CB29" s="244">
        <f>IF(CB34="OLD",IF(CB23=CB24,CB23,FORECAST(CB20,CB23:CB24,CB21:CB22)),IF(CB$25="P",IF(CB$34="O",MIN('Pricing Params'!$N$2,IF(CB23=CB24,CB23,FORECAST(CB20,CB23:CB24,CB21:CB22))),MIN('Pricing Params'!$O$2,IF(CB23=CB24,CB23,FORECAST(CB20,CB23:CB24,CB21:CB22)))),IF(CB$34="O",MIN('Pricing Params'!$O$2,IF(CB23=CB24,CB23,FORECAST(CB20,CB23:CB24,CB21:CB22))),MIN('Pricing Params'!$N$2,IF(CB23=CB24,CB23,FORECAST(CB20,CB23:CB24,CB21:CB22))))))</f>
        <v>6.5000000000000002E-2</v>
      </c>
      <c r="CC29" s="244">
        <f>IF(CC34="OLD",IF(CC23=CC24,CC23,FORECAST(CC20,CC23:CC24,CC21:CC22)),IF(CC$25="P",IF(CC$34="O",MIN('Pricing Params'!$N$2,IF(CC23=CC24,CC23,FORECAST(CC20,CC23:CC24,CC21:CC22))),MIN('Pricing Params'!$O$2,IF(CC23=CC24,CC23,FORECAST(CC20,CC23:CC24,CC21:CC22)))),IF(CC$34="O",MIN('Pricing Params'!$O$2,IF(CC23=CC24,CC23,FORECAST(CC20,CC23:CC24,CC21:CC22))),MIN('Pricing Params'!$N$2,IF(CC23=CC24,CC23,FORECAST(CC20,CC23:CC24,CC21:CC22))))))</f>
        <v>6.5000000000000002E-2</v>
      </c>
      <c r="CD29" s="245">
        <f>IF(CD34="OLD",IF(CD23=CD24,CD23,FORECAST(CD20,CD23:CD24,CD21:CD22)),IF(CD$25="P",IF(CD$34="O",MIN('Pricing Params'!$N$2,IF(CD23=CD24,CD23,FORECAST(CD20,CD23:CD24,CD21:CD22))),MIN('Pricing Params'!$O$2,IF(CD23=CD24,CD23,FORECAST(CD20,CD23:CD24,CD21:CD22)))),IF(CD$34="O",MIN('Pricing Params'!$O$2,IF(CD23=CD24,CD23,FORECAST(CD20,CD23:CD24,CD21:CD22))),MIN('Pricing Params'!$N$2,IF(CD23=CD24,CD23,FORECAST(CD20,CD23:CD24,CD21:CD22))))))</f>
        <v>6.5000000000000002E-2</v>
      </c>
      <c r="CE29" s="245">
        <f>IF(CE34="OLD",IF(CE23=CE24,CE23,FORECAST(CE20,CE23:CE24,CE21:CE22)),IF(CE$25="P",IF(CE$34="O",MIN('Pricing Params'!$N$2,IF(CE23=CE24,CE23,FORECAST(CE20,CE23:CE24,CE21:CE22))),MIN('Pricing Params'!$O$2,IF(CE23=CE24,CE23,FORECAST(CE20,CE23:CE24,CE21:CE22)))),IF(CE$34="O",MIN('Pricing Params'!$O$2,IF(CE23=CE24,CE23,FORECAST(CE20,CE23:CE24,CE21:CE22))),MIN('Pricing Params'!$N$2,IF(CE23=CE24,CE23,FORECAST(CE20,CE23:CE24,CE21:CE22))))))</f>
        <v>6.5000000000000002E-2</v>
      </c>
      <c r="CF29" s="245">
        <f>IF(CF34="OLD",IF(CF23=CF24,CF23,FORECAST(CF20,CF23:CF24,CF21:CF22)),IF(CF$25="P",IF(CF$34="O",MIN('Pricing Params'!$N$2,IF(CF23=CF24,CF23,FORECAST(CF20,CF23:CF24,CF21:CF22))),MIN('Pricing Params'!$O$2,IF(CF23=CF24,CF23,FORECAST(CF20,CF23:CF24,CF21:CF22)))),IF(CF$34="O",MIN('Pricing Params'!$O$2,IF(CF23=CF24,CF23,FORECAST(CF20,CF23:CF24,CF21:CF22))),MIN('Pricing Params'!$N$2,IF(CF23=CF24,CF23,FORECAST(CF20,CF23:CF24,CF21:CF22))))))</f>
        <v>6.5000000000000002E-2</v>
      </c>
      <c r="CG29" s="245">
        <f>IF(CG34="OLD",IF(CG23=CG24,CG23,FORECAST(CG20,CG23:CG24,CG21:CG22)),IF(CG$25="P",IF(CG$34="O",MIN('Pricing Params'!$N$2,IF(CG23=CG24,CG23,FORECAST(CG20,CG23:CG24,CG21:CG22))),MIN('Pricing Params'!$O$2,IF(CG23=CG24,CG23,FORECAST(CG20,CG23:CG24,CG21:CG22)))),IF(CG$34="O",MIN('Pricing Params'!$O$2,IF(CG23=CG24,CG23,FORECAST(CG20,CG23:CG24,CG21:CG22))),MIN('Pricing Params'!$N$2,IF(CG23=CG24,CG23,FORECAST(CG20,CG23:CG24,CG21:CG22))))))</f>
        <v>6.5000000000000002E-2</v>
      </c>
      <c r="CH29" s="245">
        <f>IF(CH34="OLD",IF(CH23=CH24,CH23,FORECAST(CH20,CH23:CH24,CH21:CH22)),IF(CH$25="P",IF(CH$34="O",MIN('Pricing Params'!$N$2,IF(CH23=CH24,CH23,FORECAST(CH20,CH23:CH24,CH21:CH22))),MIN('Pricing Params'!$O$2,IF(CH23=CH24,CH23,FORECAST(CH20,CH23:CH24,CH21:CH22)))),IF(CH$34="O",MIN('Pricing Params'!$O$2,IF(CH23=CH24,CH23,FORECAST(CH20,CH23:CH24,CH21:CH22))),MIN('Pricing Params'!$N$2,IF(CH23=CH24,CH23,FORECAST(CH20,CH23:CH24,CH21:CH22))))))</f>
        <v>6.5000000000000002E-2</v>
      </c>
      <c r="CI29" s="245">
        <f>IF(CI34="OLD",IF(CI23=CI24,CI23,FORECAST(CI20,CI23:CI24,CI21:CI22)),IF(CI$25="P",IF(CI$34="O",MIN('Pricing Params'!$N$2,IF(CI23=CI24,CI23,FORECAST(CI20,CI23:CI24,CI21:CI22))),MIN('Pricing Params'!$O$2,IF(CI23=CI24,CI23,FORECAST(CI20,CI23:CI24,CI21:CI22)))),IF(CI$34="O",MIN('Pricing Params'!$O$2,IF(CI23=CI24,CI23,FORECAST(CI20,CI23:CI24,CI21:CI22))),MIN('Pricing Params'!$N$2,IF(CI23=CI24,CI23,FORECAST(CI20,CI23:CI24,CI21:CI22))))))</f>
        <v>6.5000000000000002E-2</v>
      </c>
      <c r="CJ29" s="245">
        <f>IF(CJ34="OLD",IF(CJ23=CJ24,CJ23,FORECAST(CJ20,CJ23:CJ24,CJ21:CJ22)),IF(CJ$25="P",IF(CJ$34="O",MIN('Pricing Params'!$N$2,IF(CJ23=CJ24,CJ23,FORECAST(CJ20,CJ23:CJ24,CJ21:CJ22))),MIN('Pricing Params'!$O$2,IF(CJ23=CJ24,CJ23,FORECAST(CJ20,CJ23:CJ24,CJ21:CJ22)))),IF(CJ$34="O",MIN('Pricing Params'!$O$2,IF(CJ23=CJ24,CJ23,FORECAST(CJ20,CJ23:CJ24,CJ21:CJ22))),MIN('Pricing Params'!$N$2,IF(CJ23=CJ24,CJ23,FORECAST(CJ20,CJ23:CJ24,CJ21:CJ22))))))</f>
        <v>6.5000000000000002E-2</v>
      </c>
      <c r="CK29" s="245">
        <f>IF(CK34="OLD",IF(CK23=CK24,CK23,FORECAST(CK20,CK23:CK24,CK21:CK22)),IF(CK$25="P",IF(CK$34="O",MIN('Pricing Params'!$N$2,IF(CK23=CK24,CK23,FORECAST(CK20,CK23:CK24,CK21:CK22))),MIN('Pricing Params'!$O$2,IF(CK23=CK24,CK23,FORECAST(CK20,CK23:CK24,CK21:CK22)))),IF(CK$34="O",MIN('Pricing Params'!$O$2,IF(CK23=CK24,CK23,FORECAST(CK20,CK23:CK24,CK21:CK22))),MIN('Pricing Params'!$N$2,IF(CK23=CK24,CK23,FORECAST(CK20,CK23:CK24,CK21:CK22))))))</f>
        <v>6.5000000000000002E-2</v>
      </c>
      <c r="CL29" s="245">
        <f>IF(CL34="OLD",IF(CL23=CL24,CL23,FORECAST(CL20,CL23:CL24,CL21:CL22)),IF(CL$25="P",IF(CL$34="O",MIN('Pricing Params'!$N$2,IF(CL23=CL24,CL23,FORECAST(CL20,CL23:CL24,CL21:CL22))),MIN('Pricing Params'!$O$2,IF(CL23=CL24,CL23,FORECAST(CL20,CL23:CL24,CL21:CL22)))),IF(CL$34="O",MIN('Pricing Params'!$O$2,IF(CL23=CL24,CL23,FORECAST(CL20,CL23:CL24,CL21:CL22))),MIN('Pricing Params'!$N$2,IF(CL23=CL24,CL23,FORECAST(CL20,CL23:CL24,CL21:CL22))))))</f>
        <v>6.5000000000000002E-2</v>
      </c>
      <c r="CM29" s="245">
        <f>IF(CM34="OLD",IF(CM23=CM24,CM23,FORECAST(CM20,CM23:CM24,CM21:CM22)),IF(CM$25="P",IF(CM$34="O",MIN('Pricing Params'!$N$2,IF(CM23=CM24,CM23,FORECAST(CM20,CM23:CM24,CM21:CM22))),MIN('Pricing Params'!$O$2,IF(CM23=CM24,CM23,FORECAST(CM20,CM23:CM24,CM21:CM22)))),IF(CM$34="O",MIN('Pricing Params'!$O$2,IF(CM23=CM24,CM23,FORECAST(CM20,CM23:CM24,CM21:CM22))),MIN('Pricing Params'!$N$2,IF(CM23=CM24,CM23,FORECAST(CM20,CM23:CM24,CM21:CM22))))))</f>
        <v>6.5000000000000002E-2</v>
      </c>
      <c r="CN29" s="245">
        <f>IF(CN34="OLD",IF(CN23=CN24,CN23,FORECAST(CN20,CN23:CN24,CN21:CN22)),IF(CN$25="P",IF(CN$34="O",MIN('Pricing Params'!$N$2,IF(CN23=CN24,CN23,FORECAST(CN20,CN23:CN24,CN21:CN22))),MIN('Pricing Params'!$O$2,IF(CN23=CN24,CN23,FORECAST(CN20,CN23:CN24,CN21:CN22)))),IF(CN$34="O",MIN('Pricing Params'!$O$2,IF(CN23=CN24,CN23,FORECAST(CN20,CN23:CN24,CN21:CN22))),MIN('Pricing Params'!$N$2,IF(CN23=CN24,CN23,FORECAST(CN20,CN23:CN24,CN21:CN22))))))</f>
        <v>6.5000000000000002E-2</v>
      </c>
      <c r="CO29" s="245">
        <f>IF(CO34="OLD",IF(CO23=CO24,CO23,FORECAST(CO20,CO23:CO24,CO21:CO22)),IF(CO$25="P",IF(CO$34="O",MIN('Pricing Params'!$N$2,IF(CO23=CO24,CO23,FORECAST(CO20,CO23:CO24,CO21:CO22))),MIN('Pricing Params'!$O$2,IF(CO23=CO24,CO23,FORECAST(CO20,CO23:CO24,CO21:CO22)))),IF(CO$34="O",MIN('Pricing Params'!$O$2,IF(CO23=CO24,CO23,FORECAST(CO20,CO23:CO24,CO21:CO22))),MIN('Pricing Params'!$N$2,IF(CO23=CO24,CO23,FORECAST(CO20,CO23:CO24,CO21:CO22))))))</f>
        <v>6.5000000000000002E-2</v>
      </c>
      <c r="CP29" s="245">
        <f>IF(CP34="OLD",IF(CP23=CP24,CP23,FORECAST(CP20,CP23:CP24,CP21:CP22)),IF(CP$25="P",IF(CP$34="O",MIN('Pricing Params'!$N$2,IF(CP23=CP24,CP23,FORECAST(CP20,CP23:CP24,CP21:CP22))),MIN('Pricing Params'!$O$2,IF(CP23=CP24,CP23,FORECAST(CP20,CP23:CP24,CP21:CP22)))),IF(CP$34="O",MIN('Pricing Params'!$O$2,IF(CP23=CP24,CP23,FORECAST(CP20,CP23:CP24,CP21:CP22))),MIN('Pricing Params'!$N$2,IF(CP23=CP24,CP23,FORECAST(CP20,CP23:CP24,CP21:CP22))))))</f>
        <v>6.5000000000000002E-2</v>
      </c>
      <c r="CQ29" s="245">
        <f>IF(CQ34="OLD",IF(CQ23=CQ24,CQ23,FORECAST(CQ20,CQ23:CQ24,CQ21:CQ22)),IF(CQ$25="P",IF(CQ$34="O",MIN('Pricing Params'!$N$2,IF(CQ23=CQ24,CQ23,FORECAST(CQ20,CQ23:CQ24,CQ21:CQ22))),MIN('Pricing Params'!$O$2,IF(CQ23=CQ24,CQ23,FORECAST(CQ20,CQ23:CQ24,CQ21:CQ22)))),IF(CQ$34="O",MIN('Pricing Params'!$O$2,IF(CQ23=CQ24,CQ23,FORECAST(CQ20,CQ23:CQ24,CQ21:CQ22))),MIN('Pricing Params'!$N$2,IF(CQ23=CQ24,CQ23,FORECAST(CQ20,CQ23:CQ24,CQ21:CQ22))))))</f>
        <v>6.5000000000000002E-2</v>
      </c>
      <c r="CR29" s="245">
        <f>IF(CR34="OLD",IF(CR23=CR24,CR23,FORECAST(CR20,CR23:CR24,CR21:CR22)),IF(CR$25="P",IF(CR$34="O",MIN('Pricing Params'!$N$2,IF(CR23=CR24,CR23,FORECAST(CR20,CR23:CR24,CR21:CR22))),MIN('Pricing Params'!$O$2,IF(CR23=CR24,CR23,FORECAST(CR20,CR23:CR24,CR21:CR22)))),IF(CR$34="O",MIN('Pricing Params'!$O$2,IF(CR23=CR24,CR23,FORECAST(CR20,CR23:CR24,CR21:CR22))),MIN('Pricing Params'!$N$2,IF(CR23=CR24,CR23,FORECAST(CR20,CR23:CR24,CR21:CR22))))))</f>
        <v>6.5000000000000002E-2</v>
      </c>
      <c r="CS29" s="245">
        <f>IF(CS34="OLD",IF(CS23=CS24,CS23,FORECAST(CS20,CS23:CS24,CS21:CS22)),IF(CS$25="P",IF(CS$34="O",MIN('Pricing Params'!$N$2,IF(CS23=CS24,CS23,FORECAST(CS20,CS23:CS24,CS21:CS22))),MIN('Pricing Params'!$O$2,IF(CS23=CS24,CS23,FORECAST(CS20,CS23:CS24,CS21:CS22)))),IF(CS$34="O",MIN('Pricing Params'!$O$2,IF(CS23=CS24,CS23,FORECAST(CS20,CS23:CS24,CS21:CS22))),MIN('Pricing Params'!$N$2,IF(CS23=CS24,CS23,FORECAST(CS20,CS23:CS24,CS21:CS22))))))</f>
        <v>6.5000000000000002E-2</v>
      </c>
    </row>
    <row r="30" spans="1:97">
      <c r="A30" t="s">
        <v>20</v>
      </c>
      <c r="B30" s="243">
        <f>SUMIF(MarketData!$I$26:$I$1204,"&lt;"&amp;B20,MarketData!$J$26:$J$1204)/B27*365/(B20-B26)*(IF(B$25="P",IF(B$34="O",'Pricing Params'!$M$2,1),IF(B$34="O",1,IF(B$34="OLD",1,'Pricing Params'!$M$2))))</f>
        <v>7.1455551888267898E-3</v>
      </c>
      <c r="C30" s="243">
        <f>SUMIF(MarketData!$I$26:$I$1204,"&lt;"&amp;C20,MarketData!$J$26:$J$1204)/C27*365/(C20-C26)*(IF(C$25="P",IF(C$34="O",'Pricing Params'!$M$2,1),IF(C$34="O",1,IF(C$34="OLD",1,'Pricing Params'!$M$2))))</f>
        <v>6.7042120742227818E-3</v>
      </c>
      <c r="D30" s="243">
        <f>SUMIF(MarketData!$I$26:$I$1204,"&lt;"&amp;D20,MarketData!$J$26:$J$1204)/D27*365/(D20-D26)*(IF(D$25="P",IF(D$34="O",'Pricing Params'!$M$2,1),IF(D$34="O",1,IF(D$34="OLD",1,'Pricing Params'!$M$2))))</f>
        <v>6.2837549420695958E-3</v>
      </c>
      <c r="E30" s="243">
        <f>SUMIF(MarketData!$I$26:$I$1204,"&lt;"&amp;E20,MarketData!$J$26:$J$1204)/E27*365/(E20-E26)*(IF(E$25="P",IF(E$34="O",'Pricing Params'!$M$2,1),IF(E$34="O",1,IF(E$34="OLD",1,'Pricing Params'!$M$2))))</f>
        <v>5.8862029831781683E-3</v>
      </c>
      <c r="F30" s="243">
        <f>SUMIF(MarketData!$I$26:$I$1204,"&lt;"&amp;F20,MarketData!$J$26:$J$1204)/F27*365/(F20-F26)*(IF(F$25="P",IF(F$34="O",'Pricing Params'!$M$2,1),IF(F$34="O",1,IF(F$34="OLD",1,'Pricing Params'!$M$2))))</f>
        <v>5.55959050057499E-3</v>
      </c>
      <c r="G30" s="243">
        <f>SUMIF(MarketData!$I$26:$I$1204,"&lt;"&amp;G20,MarketData!$J$26:$J$1204)/G27*365/(G20-G26)*(IF(G$25="P",IF(G$34="O",'Pricing Params'!$M$2,1),IF(G$34="O",1,IF(G$34="OLD",1,'Pricing Params'!$M$2))))</f>
        <v>5.2887055805933775E-3</v>
      </c>
      <c r="H30" s="243">
        <f>SUMIF(MarketData!$I$26:$I$1204,"&lt;"&amp;H20,MarketData!$J$26:$J$1204)/H27*365/(H20-H26)*(IF(H$25="P",IF(H$34="O",'Pricing Params'!$M$2,1),IF(H$34="O",1,IF(H$34="OLD",1,'Pricing Params'!$M$2))))</f>
        <v>5.2887055805933775E-3</v>
      </c>
      <c r="I30" s="243">
        <f>SUMIF(MarketData!$I$26:$I$1204,"&lt;"&amp;I20,MarketData!$J$26:$J$1204)/I27*365/(I20-I26)*(IF(I$25="P",IF(I$34="O",'Pricing Params'!$M$2,1),IF(I$34="O",1,IF(I$34="OLD",1,'Pricing Params'!$M$2))))</f>
        <v>5.2887055805933775E-3</v>
      </c>
      <c r="J30" s="243">
        <f>SUMIF(MarketData!$I$26:$I$1204,"&lt;"&amp;J20,MarketData!$J$26:$J$1204)/J27*365/(J20-J26)*(IF(J$25="P",IF(J$34="O",'Pricing Params'!$M$2,1),IF(J$34="O",1,IF(J$34="OLD",1,'Pricing Params'!$M$2))))</f>
        <v>7.1455551888267898E-3</v>
      </c>
      <c r="K30" s="243">
        <f>SUMIF(MarketData!$I$26:$I$1204,"&lt;"&amp;K20,MarketData!$J$26:$J$1204)/K27*365/(K20-K26)*(IF(K$25="P",IF(K$34="O",'Pricing Params'!$M$2,1),IF(K$34="O",1,IF(K$34="OLD",1,'Pricing Params'!$M$2))))</f>
        <v>6.7042120742227818E-3</v>
      </c>
      <c r="L30" s="243">
        <f>SUMIF(MarketData!$I$26:$I$1204,"&lt;"&amp;L20,MarketData!$J$26:$J$1204)/L27*365/(L20-L26)*(IF(L$25="P",IF(L$34="O",'Pricing Params'!$M$2,1),IF(L$34="O",1,IF(L$34="OLD",1,'Pricing Params'!$M$2))))</f>
        <v>6.2837549420695958E-3</v>
      </c>
      <c r="M30" s="243">
        <f>SUMIF(MarketData!$I$26:$I$1204,"&lt;"&amp;M20,MarketData!$J$26:$J$1204)/M27*365/(M20-M26)*(IF(M$25="P",IF(M$34="O",'Pricing Params'!$M$2,1),IF(M$34="O",1,IF(M$34="OLD",1,'Pricing Params'!$M$2))))</f>
        <v>5.8862029831781683E-3</v>
      </c>
      <c r="N30" s="243">
        <f>SUMIF(MarketData!$I$26:$I$1204,"&lt;"&amp;N20,MarketData!$J$26:$J$1204)/N27*365/(N20-N26)*(IF(N$25="P",IF(N$34="O",'Pricing Params'!$M$2,1),IF(N$34="O",1,IF(N$34="OLD",1,'Pricing Params'!$M$2))))</f>
        <v>5.55959050057499E-3</v>
      </c>
      <c r="O30" s="243">
        <f>SUMIF(MarketData!$I$26:$I$1204,"&lt;"&amp;O20,MarketData!$J$26:$J$1204)/O27*365/(O20-O26)*(IF(O$25="P",IF(O$34="O",'Pricing Params'!$M$2,1),IF(O$34="O",1,IF(O$34="OLD",1,'Pricing Params'!$M$2))))</f>
        <v>5.2887055805933775E-3</v>
      </c>
      <c r="P30" s="243">
        <f>SUMIF(MarketData!$I$26:$I$1204,"&lt;"&amp;P20,MarketData!$J$26:$J$1204)/P27*365/(P20-P26)*(IF(P$25="P",IF(P$34="O",'Pricing Params'!$M$2,1),IF(P$34="O",1,IF(P$34="OLD",1,'Pricing Params'!$M$2))))</f>
        <v>5.2887055805933775E-3</v>
      </c>
      <c r="Q30" s="243">
        <f>SUMIF(MarketData!$I$26:$I$1204,"&lt;"&amp;Q20,MarketData!$J$26:$J$1204)/Q27*365/(Q20-Q26)*(IF(Q$25="P",IF(Q$34="O",'Pricing Params'!$M$2,1),IF(Q$34="O",1,IF(Q$34="OLD",1,'Pricing Params'!$M$2))))</f>
        <v>5.2887055805933775E-3</v>
      </c>
      <c r="R30" s="243">
        <f>SUMIF(MarketData!$I$26:$I$1204,"&lt;"&amp;R20,MarketData!$J$26:$J$1204)/R27*365/(R20-R26)*(IF(R$25="P",IF(R$34="O",'Pricing Params'!$M$2,1),IF(R$34="O",1,IF(R$34="OLD",1,'Pricing Params'!$M$2))))</f>
        <v>7.1455551888267898E-3</v>
      </c>
      <c r="S30" s="243">
        <f>SUMIF(MarketData!$I$26:$I$1204,"&lt;"&amp;S20,MarketData!$J$26:$J$1204)/S27*365/(S20-S26)*(IF(S$25="P",IF(S$34="O",'Pricing Params'!$M$2,1),IF(S$34="O",1,IF(S$34="OLD",1,'Pricing Params'!$M$2))))</f>
        <v>6.7042120742227818E-3</v>
      </c>
      <c r="T30" s="243">
        <f>SUMIF(MarketData!$I$26:$I$1204,"&lt;"&amp;T20,MarketData!$J$26:$J$1204)/T27*365/(T20-T26)*(IF(T$25="P",IF(T$34="O",'Pricing Params'!$M$2,1),IF(T$34="O",1,IF(T$34="OLD",1,'Pricing Params'!$M$2))))</f>
        <v>6.2837549420695958E-3</v>
      </c>
      <c r="U30" s="243">
        <f>SUMIF(MarketData!$I$26:$I$1204,"&lt;"&amp;U20,MarketData!$J$26:$J$1204)/U27*365/(U20-U26)*(IF(U$25="P",IF(U$34="O",'Pricing Params'!$M$2,1),IF(U$34="O",1,IF(U$34="OLD",1,'Pricing Params'!$M$2))))</f>
        <v>5.8862029831781683E-3</v>
      </c>
      <c r="V30" s="243">
        <f>SUMIF(MarketData!$I$26:$I$1204,"&lt;"&amp;V20,MarketData!$J$26:$J$1204)/V27*365/(V20-V26)*(IF(V$25="P",IF(V$34="O",'Pricing Params'!$M$2,1),IF(V$34="O",1,IF(V$34="OLD",1,'Pricing Params'!$M$2))))</f>
        <v>5.55959050057499E-3</v>
      </c>
      <c r="W30" s="243">
        <f>SUMIF(MarketData!$I$26:$I$1204,"&lt;"&amp;W20,MarketData!$J$26:$J$1204)/W27*365/(W20-W26)*(IF(W$25="P",IF(W$34="O",'Pricing Params'!$M$2,1),IF(W$34="O",1,IF(W$34="OLD",1,'Pricing Params'!$M$2))))</f>
        <v>5.2887055805933775E-3</v>
      </c>
      <c r="X30" s="243">
        <f>SUMIF(MarketData!$I$26:$I$1204,"&lt;"&amp;X20,MarketData!$J$26:$J$1204)/X27*365/(X20-X26)*(IF(X$25="P",IF(X$34="O",'Pricing Params'!$M$2,1),IF(X$34="O",1,IF(X$34="OLD",1,'Pricing Params'!$M$2))))</f>
        <v>5.2887055805933775E-3</v>
      </c>
      <c r="Y30" s="243">
        <f>SUMIF(MarketData!$I$26:$I$1204,"&lt;"&amp;Y20,MarketData!$J$26:$J$1204)/Y27*365/(Y20-Y26)*(IF(Y$25="P",IF(Y$34="O",'Pricing Params'!$M$2,1),IF(Y$34="O",1,IF(Y$34="OLD",1,'Pricing Params'!$M$2))))</f>
        <v>5.2887055805933775E-3</v>
      </c>
      <c r="Z30" s="244">
        <f>SUMIF(MarketData!$I$26:$I$1204,"&lt;"&amp;Z20,MarketData!$J$26:$J$1204)/Z27*365/(Z20-Z26)*(IF(Z$25="P",IF(Z$34="O",'Pricing Params'!$M$2,1),IF(Z$34="O",1,IF(Z$34="OLD",1,'Pricing Params'!$M$2))))</f>
        <v>7.1455551888267898E-3</v>
      </c>
      <c r="AA30" s="244">
        <f>SUMIF(MarketData!$I$26:$I$1204,"&lt;"&amp;AA20,MarketData!$J$26:$J$1204)/AA27*365/(AA20-AA26)*(IF(AA$25="P",IF(AA$34="O",'Pricing Params'!$M$2,1),IF(AA$34="O",1,IF(AA$34="OLD",1,'Pricing Params'!$M$2))))</f>
        <v>6.7042120742227818E-3</v>
      </c>
      <c r="AB30" s="244">
        <f>SUMIF(MarketData!$I$26:$I$1204,"&lt;"&amp;AB20,MarketData!$J$26:$J$1204)/AB27*365/(AB20-AB26)*(IF(AB$25="P",IF(AB$34="O",'Pricing Params'!$M$2,1),IF(AB$34="O",1,IF(AB$34="OLD",1,'Pricing Params'!$M$2))))</f>
        <v>6.2837549420695958E-3</v>
      </c>
      <c r="AC30" s="244">
        <f>SUMIF(MarketData!$I$26:$I$1204,"&lt;"&amp;AC20,MarketData!$J$26:$J$1204)/AC27*365/(AC20-AC26)*(IF(AC$25="P",IF(AC$34="O",'Pricing Params'!$M$2,1),IF(AC$34="O",1,IF(AC$34="OLD",1,'Pricing Params'!$M$2))))</f>
        <v>5.8862029831781683E-3</v>
      </c>
      <c r="AD30" s="244">
        <f>SUMIF(MarketData!$I$26:$I$1204,"&lt;"&amp;AD20,MarketData!$J$26:$J$1204)/AD27*365/(AD20-AD26)*(IF(AD$25="P",IF(AD$34="O",'Pricing Params'!$M$2,1),IF(AD$34="O",1,IF(AD$34="OLD",1,'Pricing Params'!$M$2))))</f>
        <v>5.55959050057499E-3</v>
      </c>
      <c r="AE30" s="244">
        <f>SUMIF(MarketData!$I$26:$I$1204,"&lt;"&amp;AE20,MarketData!$J$26:$J$1204)/AE27*365/(AE20-AE26)*(IF(AE$25="P",IF(AE$34="O",'Pricing Params'!$M$2,1),IF(AE$34="O",1,IF(AE$34="OLD",1,'Pricing Params'!$M$2))))</f>
        <v>5.2887055805933775E-3</v>
      </c>
      <c r="AF30" s="244">
        <f>SUMIF(MarketData!$I$26:$I$1204,"&lt;"&amp;AF20,MarketData!$J$26:$J$1204)/AF27*365/(AF20-AF26)*(IF(AF$25="P",IF(AF$34="O",'Pricing Params'!$M$2,1),IF(AF$34="O",1,IF(AF$34="OLD",1,'Pricing Params'!$M$2))))</f>
        <v>5.2887055805933775E-3</v>
      </c>
      <c r="AG30" s="244">
        <f>SUMIF(MarketData!$I$26:$I$1204,"&lt;"&amp;AG20,MarketData!$J$26:$J$1204)/AG27*365/(AG20-AG26)*(IF(AG$25="P",IF(AG$34="O",'Pricing Params'!$M$2,1),IF(AG$34="O",1,IF(AG$34="OLD",1,'Pricing Params'!$M$2))))</f>
        <v>5.2887055805933775E-3</v>
      </c>
      <c r="AH30" s="245">
        <f>SUMIF(MarketData!$I$26:$I$1204,"&lt;"&amp;AH20,MarketData!$J$26:$J$1204)/AH27*365/(AH20-AH26)*(IF(AH$25="P",IF(AH$34="O",'Pricing Params'!$M$2,1),IF(AH$34="O",1,IF(AH$34="OLD",1,'Pricing Params'!$M$2))))</f>
        <v>7.1455551888267898E-3</v>
      </c>
      <c r="AI30" s="245">
        <f>SUMIF(MarketData!$I$26:$I$1204,"&lt;"&amp;AI20,MarketData!$J$26:$J$1204)/AI27*365/(AI20-AI26)*(IF(AI$25="P",IF(AI$34="O",'Pricing Params'!$M$2,1),IF(AI$34="O",1,IF(AI$34="OLD",1,'Pricing Params'!$M$2))))</f>
        <v>6.7042120742227818E-3</v>
      </c>
      <c r="AJ30" s="245">
        <f>SUMIF(MarketData!$I$26:$I$1204,"&lt;"&amp;AJ20,MarketData!$J$26:$J$1204)/AJ27*365/(AJ20-AJ26)*(IF(AJ$25="P",IF(AJ$34="O",'Pricing Params'!$M$2,1),IF(AJ$34="O",1,IF(AJ$34="OLD",1,'Pricing Params'!$M$2))))</f>
        <v>6.2837549420695958E-3</v>
      </c>
      <c r="AK30" s="245">
        <f>SUMIF(MarketData!$I$26:$I$1204,"&lt;"&amp;AK20,MarketData!$J$26:$J$1204)/AK27*365/(AK20-AK26)*(IF(AK$25="P",IF(AK$34="O",'Pricing Params'!$M$2,1),IF(AK$34="O",1,IF(AK$34="OLD",1,'Pricing Params'!$M$2))))</f>
        <v>5.8862029831781683E-3</v>
      </c>
      <c r="AL30" s="245">
        <f>SUMIF(MarketData!$I$26:$I$1204,"&lt;"&amp;AL20,MarketData!$J$26:$J$1204)/AL27*365/(AL20-AL26)*(IF(AL$25="P",IF(AL$34="O",'Pricing Params'!$M$2,1),IF(AL$34="O",1,IF(AL$34="OLD",1,'Pricing Params'!$M$2))))</f>
        <v>5.55959050057499E-3</v>
      </c>
      <c r="AM30" s="245">
        <f>SUMIF(MarketData!$I$26:$I$1204,"&lt;"&amp;AM20,MarketData!$J$26:$J$1204)/AM27*365/(AM20-AM26)*(IF(AM$25="P",IF(AM$34="O",'Pricing Params'!$M$2,1),IF(AM$34="O",1,IF(AM$34="OLD",1,'Pricing Params'!$M$2))))</f>
        <v>5.2887055805933775E-3</v>
      </c>
      <c r="AN30" s="245">
        <f>SUMIF(MarketData!$I$26:$I$1204,"&lt;"&amp;AN20,MarketData!$J$26:$J$1204)/AN27*365/(AN20-AN26)*(IF(AN$25="P",IF(AN$34="O",'Pricing Params'!$M$2,1),IF(AN$34="O",1,IF(AN$34="OLD",1,'Pricing Params'!$M$2))))</f>
        <v>5.2887055805933775E-3</v>
      </c>
      <c r="AO30" s="245">
        <f>SUMIF(MarketData!$I$26:$I$1204,"&lt;"&amp;AO20,MarketData!$J$26:$J$1204)/AO27*365/(AO20-AO26)*(IF(AO$25="P",IF(AO$34="O",'Pricing Params'!$M$2,1),IF(AO$34="O",1,IF(AO$34="OLD",1,'Pricing Params'!$M$2))))</f>
        <v>5.2887055805933775E-3</v>
      </c>
      <c r="AP30" s="245">
        <f>SUMIF(MarketData!$I$26:$I$1204,"&lt;"&amp;AP20,MarketData!$J$26:$J$1204)/AP27*365/(AP20-AP26)*(IF(AP$25="P",IF(AP$34="O",'Pricing Params'!$M$2,1),IF(AP$34="O",1,IF(AP$34="OLD",1,'Pricing Params'!$M$2))))</f>
        <v>7.1455551888267898E-3</v>
      </c>
      <c r="AQ30" s="245">
        <f>SUMIF(MarketData!$I$26:$I$1204,"&lt;"&amp;AQ20,MarketData!$J$26:$J$1204)/AQ27*365/(AQ20-AQ26)*(IF(AQ$25="P",IF(AQ$34="O",'Pricing Params'!$M$2,1),IF(AQ$34="O",1,IF(AQ$34="OLD",1,'Pricing Params'!$M$2))))</f>
        <v>6.7042120742227818E-3</v>
      </c>
      <c r="AR30" s="245">
        <f>SUMIF(MarketData!$I$26:$I$1204,"&lt;"&amp;AR20,MarketData!$J$26:$J$1204)/AR27*365/(AR20-AR26)*(IF(AR$25="P",IF(AR$34="O",'Pricing Params'!$M$2,1),IF(AR$34="O",1,IF(AR$34="OLD",1,'Pricing Params'!$M$2))))</f>
        <v>6.2837549420695958E-3</v>
      </c>
      <c r="AS30" s="245">
        <f>SUMIF(MarketData!$I$26:$I$1204,"&lt;"&amp;AS20,MarketData!$J$26:$J$1204)/AS27*365/(AS20-AS26)*(IF(AS$25="P",IF(AS$34="O",'Pricing Params'!$M$2,1),IF(AS$34="O",1,IF(AS$34="OLD",1,'Pricing Params'!$M$2))))</f>
        <v>5.8862029831781683E-3</v>
      </c>
      <c r="AT30" s="245">
        <f>SUMIF(MarketData!$I$26:$I$1204,"&lt;"&amp;AT20,MarketData!$J$26:$J$1204)/AT27*365/(AT20-AT26)*(IF(AT$25="P",IF(AT$34="O",'Pricing Params'!$M$2,1),IF(AT$34="O",1,IF(AT$34="OLD",1,'Pricing Params'!$M$2))))</f>
        <v>5.55959050057499E-3</v>
      </c>
      <c r="AU30" s="245">
        <f>SUMIF(MarketData!$I$26:$I$1204,"&lt;"&amp;AU20,MarketData!$J$26:$J$1204)/AU27*365/(AU20-AU26)*(IF(AU$25="P",IF(AU$34="O",'Pricing Params'!$M$2,1),IF(AU$34="O",1,IF(AU$34="OLD",1,'Pricing Params'!$M$2))))</f>
        <v>5.2887055805933775E-3</v>
      </c>
      <c r="AV30" s="245">
        <f>SUMIF(MarketData!$I$26:$I$1204,"&lt;"&amp;AV20,MarketData!$J$26:$J$1204)/AV27*365/(AV20-AV26)*(IF(AV$25="P",IF(AV$34="O",'Pricing Params'!$M$2,1),IF(AV$34="O",1,IF(AV$34="OLD",1,'Pricing Params'!$M$2))))</f>
        <v>5.2887055805933775E-3</v>
      </c>
      <c r="AW30" s="245">
        <f>SUMIF(MarketData!$I$26:$I$1204,"&lt;"&amp;AW20,MarketData!$J$26:$J$1204)/AW27*365/(AW20-AW26)*(IF(AW$25="P",IF(AW$34="O",'Pricing Params'!$M$2,1),IF(AW$34="O",1,IF(AW$34="OLD",1,'Pricing Params'!$M$2))))</f>
        <v>5.2887055805933775E-3</v>
      </c>
      <c r="AX30" s="243">
        <f>SUMIF(MarketData!$I$26:$I$1204,"&lt;"&amp;AX20,MarketData!$J$26:$J$1204)/AX27*365/(AX20-AX26)*(IF(AX$25="P",IF(AX$34="O",'Pricing Params'!$M$2,1),IF(AX$34="O",1,IF(AX$34="OLD",1,'Pricing Params'!$M$2))))</f>
        <v>7.1455551888267898E-3</v>
      </c>
      <c r="AY30" s="243">
        <f>SUMIF(MarketData!$I$26:$I$1204,"&lt;"&amp;AY20,MarketData!$J$26:$J$1204)/AY27*365/(AY20-AY26)*(IF(AY$25="P",IF(AY$34="O",'Pricing Params'!$M$2,1),IF(AY$34="O",1,IF(AY$34="OLD",1,'Pricing Params'!$M$2))))</f>
        <v>6.7042120742227818E-3</v>
      </c>
      <c r="AZ30" s="243">
        <f>SUMIF(MarketData!$I$26:$I$1204,"&lt;"&amp;AZ20,MarketData!$J$26:$J$1204)/AZ27*365/(AZ20-AZ26)*(IF(AZ$25="P",IF(AZ$34="O",'Pricing Params'!$M$2,1),IF(AZ$34="O",1,IF(AZ$34="OLD",1,'Pricing Params'!$M$2))))</f>
        <v>6.2837549420695958E-3</v>
      </c>
      <c r="BA30" s="243">
        <f>SUMIF(MarketData!$I$26:$I$1204,"&lt;"&amp;BA20,MarketData!$J$26:$J$1204)/BA27*365/(BA20-BA26)*(IF(BA$25="P",IF(BA$34="O",'Pricing Params'!$M$2,1),IF(BA$34="O",1,IF(BA$34="OLD",1,'Pricing Params'!$M$2))))</f>
        <v>5.8862029831781683E-3</v>
      </c>
      <c r="BB30" s="243">
        <f>SUMIF(MarketData!$I$26:$I$1204,"&lt;"&amp;BB20,MarketData!$J$26:$J$1204)/BB27*365/(BB20-BB26)*(IF(BB$25="P",IF(BB$34="O",'Pricing Params'!$M$2,1),IF(BB$34="O",1,IF(BB$34="OLD",1,'Pricing Params'!$M$2))))</f>
        <v>5.55959050057499E-3</v>
      </c>
      <c r="BC30" s="243">
        <f>SUMIF(MarketData!$I$26:$I$1204,"&lt;"&amp;BC20,MarketData!$J$26:$J$1204)/BC27*365/(BC20-BC26)*(IF(BC$25="P",IF(BC$34="O",'Pricing Params'!$M$2,1),IF(BC$34="O",1,IF(BC$34="OLD",1,'Pricing Params'!$M$2))))</f>
        <v>5.2887055805933775E-3</v>
      </c>
      <c r="BD30" s="243">
        <f>SUMIF(MarketData!$I$26:$I$1204,"&lt;"&amp;BD20,MarketData!$J$26:$J$1204)/BD27*365/(BD20-BD26)*(IF(BD$25="P",IF(BD$34="O",'Pricing Params'!$M$2,1),IF(BD$34="O",1,IF(BD$34="OLD",1,'Pricing Params'!$M$2))))</f>
        <v>5.2887055805933775E-3</v>
      </c>
      <c r="BE30" s="243">
        <f>SUMIF(MarketData!$I$26:$I$1204,"&lt;"&amp;BE20,MarketData!$J$26:$J$1204)/BE27*365/(BE20-BE26)*(IF(BE$25="P",IF(BE$34="O",'Pricing Params'!$M$2,1),IF(BE$34="O",1,IF(BE$34="OLD",1,'Pricing Params'!$M$2))))</f>
        <v>5.2887055805933775E-3</v>
      </c>
      <c r="BF30" s="243">
        <f>SUMIF(MarketData!$I$26:$I$1204,"&lt;"&amp;BF20,MarketData!$J$26:$J$1204)/BF27*365/(BF20-BF26)*(IF(BF$25="P",IF(BF$34="O",'Pricing Params'!$M$2,1),IF(BF$34="O",1,IF(BF$34="OLD",1,'Pricing Params'!$M$2))))</f>
        <v>7.1455551888267898E-3</v>
      </c>
      <c r="BG30" s="243">
        <f>SUMIF(MarketData!$I$26:$I$1204,"&lt;"&amp;BG20,MarketData!$J$26:$J$1204)/BG27*365/(BG20-BG26)*(IF(BG$25="P",IF(BG$34="O",'Pricing Params'!$M$2,1),IF(BG$34="O",1,IF(BG$34="OLD",1,'Pricing Params'!$M$2))))</f>
        <v>6.7042120742227818E-3</v>
      </c>
      <c r="BH30" s="243">
        <f>SUMIF(MarketData!$I$26:$I$1204,"&lt;"&amp;BH20,MarketData!$J$26:$J$1204)/BH27*365/(BH20-BH26)*(IF(BH$25="P",IF(BH$34="O",'Pricing Params'!$M$2,1),IF(BH$34="O",1,IF(BH$34="OLD",1,'Pricing Params'!$M$2))))</f>
        <v>6.2837549420695958E-3</v>
      </c>
      <c r="BI30" s="243">
        <f>SUMIF(MarketData!$I$26:$I$1204,"&lt;"&amp;BI20,MarketData!$J$26:$J$1204)/BI27*365/(BI20-BI26)*(IF(BI$25="P",IF(BI$34="O",'Pricing Params'!$M$2,1),IF(BI$34="O",1,IF(BI$34="OLD",1,'Pricing Params'!$M$2))))</f>
        <v>5.8862029831781683E-3</v>
      </c>
      <c r="BJ30" s="243">
        <f>SUMIF(MarketData!$I$26:$I$1204,"&lt;"&amp;BJ20,MarketData!$J$26:$J$1204)/BJ27*365/(BJ20-BJ26)*(IF(BJ$25="P",IF(BJ$34="O",'Pricing Params'!$M$2,1),IF(BJ$34="O",1,IF(BJ$34="OLD",1,'Pricing Params'!$M$2))))</f>
        <v>5.55959050057499E-3</v>
      </c>
      <c r="BK30" s="243">
        <f>SUMIF(MarketData!$I$26:$I$1204,"&lt;"&amp;BK20,MarketData!$J$26:$J$1204)/BK27*365/(BK20-BK26)*(IF(BK$25="P",IF(BK$34="O",'Pricing Params'!$M$2,1),IF(BK$34="O",1,IF(BK$34="OLD",1,'Pricing Params'!$M$2))))</f>
        <v>5.2887055805933775E-3</v>
      </c>
      <c r="BL30" s="243">
        <f>SUMIF(MarketData!$I$26:$I$1204,"&lt;"&amp;BL20,MarketData!$J$26:$J$1204)/BL27*365/(BL20-BL26)*(IF(BL$25="P",IF(BL$34="O",'Pricing Params'!$M$2,1),IF(BL$34="O",1,IF(BL$34="OLD",1,'Pricing Params'!$M$2))))</f>
        <v>5.2887055805933775E-3</v>
      </c>
      <c r="BM30" s="243">
        <f>SUMIF(MarketData!$I$26:$I$1204,"&lt;"&amp;BM20,MarketData!$J$26:$J$1204)/BM27*365/(BM20-BM26)*(IF(BM$25="P",IF(BM$34="O",'Pricing Params'!$M$2,1),IF(BM$34="O",1,IF(BM$34="OLD",1,'Pricing Params'!$M$2))))</f>
        <v>5.2887055805933775E-3</v>
      </c>
      <c r="BN30" s="243">
        <f>SUMIF(MarketData!$I$26:$I$1204,"&lt;"&amp;BN20,MarketData!$J$26:$J$1204)/BN27*365/(BN20-BN26)*(IF(BN$25="P",IF(BN$34="O",'Pricing Params'!$M$2,1),IF(BN$34="O",1,IF(BN$34="OLD",1,'Pricing Params'!$M$2))))</f>
        <v>7.1455551888267898E-3</v>
      </c>
      <c r="BO30" s="243">
        <f>SUMIF(MarketData!$I$26:$I$1204,"&lt;"&amp;BO20,MarketData!$J$26:$J$1204)/BO27*365/(BO20-BO26)*(IF(BO$25="P",IF(BO$34="O",'Pricing Params'!$M$2,1),IF(BO$34="O",1,IF(BO$34="OLD",1,'Pricing Params'!$M$2))))</f>
        <v>6.7042120742227818E-3</v>
      </c>
      <c r="BP30" s="243">
        <f>SUMIF(MarketData!$I$26:$I$1204,"&lt;"&amp;BP20,MarketData!$J$26:$J$1204)/BP27*365/(BP20-BP26)*(IF(BP$25="P",IF(BP$34="O",'Pricing Params'!$M$2,1),IF(BP$34="O",1,IF(BP$34="OLD",1,'Pricing Params'!$M$2))))</f>
        <v>6.2837549420695958E-3</v>
      </c>
      <c r="BQ30" s="243">
        <f>SUMIF(MarketData!$I$26:$I$1204,"&lt;"&amp;BQ20,MarketData!$J$26:$J$1204)/BQ27*365/(BQ20-BQ26)*(IF(BQ$25="P",IF(BQ$34="O",'Pricing Params'!$M$2,1),IF(BQ$34="O",1,IF(BQ$34="OLD",1,'Pricing Params'!$M$2))))</f>
        <v>5.8862029831781683E-3</v>
      </c>
      <c r="BR30" s="243">
        <f>SUMIF(MarketData!$I$26:$I$1204,"&lt;"&amp;BR20,MarketData!$J$26:$J$1204)/BR27*365/(BR20-BR26)*(IF(BR$25="P",IF(BR$34="O",'Pricing Params'!$M$2,1),IF(BR$34="O",1,IF(BR$34="OLD",1,'Pricing Params'!$M$2))))</f>
        <v>5.55959050057499E-3</v>
      </c>
      <c r="BS30" s="243">
        <f>SUMIF(MarketData!$I$26:$I$1204,"&lt;"&amp;BS20,MarketData!$J$26:$J$1204)/BS27*365/(BS20-BS26)*(IF(BS$25="P",IF(BS$34="O",'Pricing Params'!$M$2,1),IF(BS$34="O",1,IF(BS$34="OLD",1,'Pricing Params'!$M$2))))</f>
        <v>5.2887055805933775E-3</v>
      </c>
      <c r="BT30" s="243">
        <f>SUMIF(MarketData!$I$26:$I$1204,"&lt;"&amp;BT20,MarketData!$J$26:$J$1204)/BT27*365/(BT20-BT26)*(IF(BT$25="P",IF(BT$34="O",'Pricing Params'!$M$2,1),IF(BT$34="O",1,IF(BT$34="OLD",1,'Pricing Params'!$M$2))))</f>
        <v>5.2887055805933775E-3</v>
      </c>
      <c r="BU30" s="243">
        <f>SUMIF(MarketData!$I$26:$I$1204,"&lt;"&amp;BU20,MarketData!$J$26:$J$1204)/BU27*365/(BU20-BU26)*(IF(BU$25="P",IF(BU$34="O",'Pricing Params'!$M$2,1),IF(BU$34="O",1,IF(BU$34="OLD",1,'Pricing Params'!$M$2))))</f>
        <v>5.2887055805933775E-3</v>
      </c>
      <c r="BV30" s="244">
        <f>SUMIF(MarketData!$I$26:$I$1204,"&lt;"&amp;BV20,MarketData!$J$26:$J$1204)/BV27*365/(BV20-BV26)*(IF(BV$25="P",IF(BV$34="O",'Pricing Params'!$M$2,1),IF(BV$34="O",1,IF(BV$34="OLD",1,'Pricing Params'!$M$2))))</f>
        <v>7.1455551888267898E-3</v>
      </c>
      <c r="BW30" s="244">
        <f>SUMIF(MarketData!$I$26:$I$1204,"&lt;"&amp;BW20,MarketData!$J$26:$J$1204)/BW27*365/(BW20-BW26)*(IF(BW$25="P",IF(BW$34="O",'Pricing Params'!$M$2,1),IF(BW$34="O",1,IF(BW$34="OLD",1,'Pricing Params'!$M$2))))</f>
        <v>6.7042120742227818E-3</v>
      </c>
      <c r="BX30" s="244">
        <f>SUMIF(MarketData!$I$26:$I$1204,"&lt;"&amp;BX20,MarketData!$J$26:$J$1204)/BX27*365/(BX20-BX26)*(IF(BX$25="P",IF(BX$34="O",'Pricing Params'!$M$2,1),IF(BX$34="O",1,IF(BX$34="OLD",1,'Pricing Params'!$M$2))))</f>
        <v>6.2837549420695958E-3</v>
      </c>
      <c r="BY30" s="244">
        <f>SUMIF(MarketData!$I$26:$I$1204,"&lt;"&amp;BY20,MarketData!$J$26:$J$1204)/BY27*365/(BY20-BY26)*(IF(BY$25="P",IF(BY$34="O",'Pricing Params'!$M$2,1),IF(BY$34="O",1,IF(BY$34="OLD",1,'Pricing Params'!$M$2))))</f>
        <v>5.8862029831781683E-3</v>
      </c>
      <c r="BZ30" s="244">
        <f>SUMIF(MarketData!$I$26:$I$1204,"&lt;"&amp;BZ20,MarketData!$J$26:$J$1204)/BZ27*365/(BZ20-BZ26)*(IF(BZ$25="P",IF(BZ$34="O",'Pricing Params'!$M$2,1),IF(BZ$34="O",1,IF(BZ$34="OLD",1,'Pricing Params'!$M$2))))</f>
        <v>5.55959050057499E-3</v>
      </c>
      <c r="CA30" s="244">
        <f>SUMIF(MarketData!$I$26:$I$1204,"&lt;"&amp;CA20,MarketData!$J$26:$J$1204)/CA27*365/(CA20-CA26)*(IF(CA$25="P",IF(CA$34="O",'Pricing Params'!$M$2,1),IF(CA$34="O",1,IF(CA$34="OLD",1,'Pricing Params'!$M$2))))</f>
        <v>5.2887055805933775E-3</v>
      </c>
      <c r="CB30" s="244">
        <f>SUMIF(MarketData!$I$26:$I$1204,"&lt;"&amp;CB20,MarketData!$J$26:$J$1204)/CB27*365/(CB20-CB26)*(IF(CB$25="P",IF(CB$34="O",'Pricing Params'!$M$2,1),IF(CB$34="O",1,IF(CB$34="OLD",1,'Pricing Params'!$M$2))))</f>
        <v>5.2887055805933775E-3</v>
      </c>
      <c r="CC30" s="244">
        <f>SUMIF(MarketData!$I$26:$I$1204,"&lt;"&amp;CC20,MarketData!$J$26:$J$1204)/CC27*365/(CC20-CC26)*(IF(CC$25="P",IF(CC$34="O",'Pricing Params'!$M$2,1),IF(CC$34="O",1,IF(CC$34="OLD",1,'Pricing Params'!$M$2))))</f>
        <v>5.2887055805933775E-3</v>
      </c>
      <c r="CD30" s="245">
        <f>SUMIF(MarketData!$I$26:$I$1204,"&lt;"&amp;CD20,MarketData!$J$26:$J$1204)/CD27*365/(CD20-CD26)*(IF(CD$25="P",IF(CD$34="O",'Pricing Params'!$M$2,1),IF(CD$34="O",1,IF(CD$34="OLD",1,'Pricing Params'!$M$2))))</f>
        <v>7.1455551888267898E-3</v>
      </c>
      <c r="CE30" s="245">
        <f>SUMIF(MarketData!$I$26:$I$1204,"&lt;"&amp;CE20,MarketData!$J$26:$J$1204)/CE27*365/(CE20-CE26)*(IF(CE$25="P",IF(CE$34="O",'Pricing Params'!$M$2,1),IF(CE$34="O",1,IF(CE$34="OLD",1,'Pricing Params'!$M$2))))</f>
        <v>6.7042120742227818E-3</v>
      </c>
      <c r="CF30" s="245">
        <f>SUMIF(MarketData!$I$26:$I$1204,"&lt;"&amp;CF20,MarketData!$J$26:$J$1204)/CF27*365/(CF20-CF26)*(IF(CF$25="P",IF(CF$34="O",'Pricing Params'!$M$2,1),IF(CF$34="O",1,IF(CF$34="OLD",1,'Pricing Params'!$M$2))))</f>
        <v>6.2837549420695958E-3</v>
      </c>
      <c r="CG30" s="245">
        <f>SUMIF(MarketData!$I$26:$I$1204,"&lt;"&amp;CG20,MarketData!$J$26:$J$1204)/CG27*365/(CG20-CG26)*(IF(CG$25="P",IF(CG$34="O",'Pricing Params'!$M$2,1),IF(CG$34="O",1,IF(CG$34="OLD",1,'Pricing Params'!$M$2))))</f>
        <v>5.8862029831781683E-3</v>
      </c>
      <c r="CH30" s="245">
        <f>SUMIF(MarketData!$I$26:$I$1204,"&lt;"&amp;CH20,MarketData!$J$26:$J$1204)/CH27*365/(CH20-CH26)*(IF(CH$25="P",IF(CH$34="O",'Pricing Params'!$M$2,1),IF(CH$34="O",1,IF(CH$34="OLD",1,'Pricing Params'!$M$2))))</f>
        <v>5.55959050057499E-3</v>
      </c>
      <c r="CI30" s="245">
        <f>SUMIF(MarketData!$I$26:$I$1204,"&lt;"&amp;CI20,MarketData!$J$26:$J$1204)/CI27*365/(CI20-CI26)*(IF(CI$25="P",IF(CI$34="O",'Pricing Params'!$M$2,1),IF(CI$34="O",1,IF(CI$34="OLD",1,'Pricing Params'!$M$2))))</f>
        <v>5.2887055805933775E-3</v>
      </c>
      <c r="CJ30" s="245">
        <f>SUMIF(MarketData!$I$26:$I$1204,"&lt;"&amp;CJ20,MarketData!$J$26:$J$1204)/CJ27*365/(CJ20-CJ26)*(IF(CJ$25="P",IF(CJ$34="O",'Pricing Params'!$M$2,1),IF(CJ$34="O",1,IF(CJ$34="OLD",1,'Pricing Params'!$M$2))))</f>
        <v>5.2887055805933775E-3</v>
      </c>
      <c r="CK30" s="245">
        <f>SUMIF(MarketData!$I$26:$I$1204,"&lt;"&amp;CK20,MarketData!$J$26:$J$1204)/CK27*365/(CK20-CK26)*(IF(CK$25="P",IF(CK$34="O",'Pricing Params'!$M$2,1),IF(CK$34="O",1,IF(CK$34="OLD",1,'Pricing Params'!$M$2))))</f>
        <v>5.2887055805933775E-3</v>
      </c>
      <c r="CL30" s="245">
        <f>SUMIF(MarketData!$I$26:$I$1204,"&lt;"&amp;CL20,MarketData!$J$26:$J$1204)/CL27*365/(CL20-CL26)*(IF(CL$25="P",IF(CL$34="O",'Pricing Params'!$M$2,1),IF(CL$34="O",1,IF(CL$34="OLD",1,'Pricing Params'!$M$2))))</f>
        <v>7.1455551888267898E-3</v>
      </c>
      <c r="CM30" s="245">
        <f>SUMIF(MarketData!$I$26:$I$1204,"&lt;"&amp;CM20,MarketData!$J$26:$J$1204)/CM27*365/(CM20-CM26)*(IF(CM$25="P",IF(CM$34="O",'Pricing Params'!$M$2,1),IF(CM$34="O",1,IF(CM$34="OLD",1,'Pricing Params'!$M$2))))</f>
        <v>6.7042120742227818E-3</v>
      </c>
      <c r="CN30" s="245">
        <f>SUMIF(MarketData!$I$26:$I$1204,"&lt;"&amp;CN20,MarketData!$J$26:$J$1204)/CN27*365/(CN20-CN26)*(IF(CN$25="P",IF(CN$34="O",'Pricing Params'!$M$2,1),IF(CN$34="O",1,IF(CN$34="OLD",1,'Pricing Params'!$M$2))))</f>
        <v>6.2837549420695958E-3</v>
      </c>
      <c r="CO30" s="245">
        <f>SUMIF(MarketData!$I$26:$I$1204,"&lt;"&amp;CO20,MarketData!$J$26:$J$1204)/CO27*365/(CO20-CO26)*(IF(CO$25="P",IF(CO$34="O",'Pricing Params'!$M$2,1),IF(CO$34="O",1,IF(CO$34="OLD",1,'Pricing Params'!$M$2))))</f>
        <v>5.8862029831781683E-3</v>
      </c>
      <c r="CP30" s="245">
        <f>SUMIF(MarketData!$I$26:$I$1204,"&lt;"&amp;CP20,MarketData!$J$26:$J$1204)/CP27*365/(CP20-CP26)*(IF(CP$25="P",IF(CP$34="O",'Pricing Params'!$M$2,1),IF(CP$34="O",1,IF(CP$34="OLD",1,'Pricing Params'!$M$2))))</f>
        <v>5.55959050057499E-3</v>
      </c>
      <c r="CQ30" s="245">
        <f>SUMIF(MarketData!$I$26:$I$1204,"&lt;"&amp;CQ20,MarketData!$J$26:$J$1204)/CQ27*365/(CQ20-CQ26)*(IF(CQ$25="P",IF(CQ$34="O",'Pricing Params'!$M$2,1),IF(CQ$34="O",1,IF(CQ$34="OLD",1,'Pricing Params'!$M$2))))</f>
        <v>5.2887055805933775E-3</v>
      </c>
      <c r="CR30" s="245">
        <f>SUMIF(MarketData!$I$26:$I$1204,"&lt;"&amp;CR20,MarketData!$J$26:$J$1204)/CR27*365/(CR20-CR26)*(IF(CR$25="P",IF(CR$34="O",'Pricing Params'!$M$2,1),IF(CR$34="O",1,IF(CR$34="OLD",1,'Pricing Params'!$M$2))))</f>
        <v>5.2887055805933775E-3</v>
      </c>
      <c r="CS30" s="245">
        <f>SUMIF(MarketData!$I$26:$I$1204,"&lt;"&amp;CS20,MarketData!$J$26:$J$1204)/CS27*365/(CS20-CS26)*(IF(CS$25="P",IF(CS$34="O",'Pricing Params'!$M$2,1),IF(CS$34="O",1,IF(CS$34="OLD",1,'Pricing Params'!$M$2))))</f>
        <v>5.2887055805933775E-3</v>
      </c>
    </row>
    <row r="31" spans="1:97">
      <c r="A31" t="s">
        <v>7</v>
      </c>
      <c r="B31" s="138">
        <f>EXP(B28*(B20-B26)/365)*B27</f>
        <v>93080.582068680102</v>
      </c>
      <c r="C31" s="138">
        <f t="shared" ref="B31:G31" si="41">EXP(C28*(C20-C26)/365)*C27</f>
        <v>94266.240651160449</v>
      </c>
      <c r="D31" s="138">
        <f t="shared" si="41"/>
        <v>95567.753326122867</v>
      </c>
      <c r="E31" s="138">
        <f t="shared" si="41"/>
        <v>96989.485734601461</v>
      </c>
      <c r="F31" s="138">
        <f t="shared" si="41"/>
        <v>98328.597638817577</v>
      </c>
      <c r="G31" s="138">
        <f t="shared" si="41"/>
        <v>99581.105338089372</v>
      </c>
      <c r="H31" s="138">
        <f t="shared" ref="H31:I31" si="42">EXP(H28*(H20-H26)/365)*H27</f>
        <v>99581.105338089372</v>
      </c>
      <c r="I31" s="138">
        <f t="shared" si="42"/>
        <v>99581.105338089372</v>
      </c>
      <c r="J31" s="138">
        <f t="shared" ref="J31:AJ31" si="43">EXP(J28*(J20-J26)/365)*J27</f>
        <v>93080.582068680102</v>
      </c>
      <c r="K31" s="138">
        <f t="shared" si="43"/>
        <v>94266.240651160449</v>
      </c>
      <c r="L31" s="138">
        <f t="shared" si="43"/>
        <v>95567.753326122867</v>
      </c>
      <c r="M31" s="138">
        <f t="shared" ref="M31:N31" si="44">EXP(M28*(M20-M26)/365)*M27</f>
        <v>96989.485734601461</v>
      </c>
      <c r="N31" s="138">
        <f t="shared" si="44"/>
        <v>98328.597638817577</v>
      </c>
      <c r="O31" s="138">
        <f t="shared" ref="O31:P31" si="45">EXP(O28*(O20-O26)/365)*O27</f>
        <v>99581.105338089372</v>
      </c>
      <c r="P31" s="138">
        <f t="shared" si="45"/>
        <v>99581.105338089372</v>
      </c>
      <c r="Q31" s="138">
        <f t="shared" ref="Q31" si="46">EXP(Q28*(Q20-Q26)/365)*Q27</f>
        <v>99581.105338089372</v>
      </c>
      <c r="R31" s="138">
        <f t="shared" si="43"/>
        <v>93080.582068680102</v>
      </c>
      <c r="S31" s="138">
        <f t="shared" si="43"/>
        <v>94266.240651160449</v>
      </c>
      <c r="T31" s="138">
        <f t="shared" si="43"/>
        <v>95567.753326122867</v>
      </c>
      <c r="U31" s="138">
        <f t="shared" ref="U31:V31" si="47">EXP(U28*(U20-U26)/365)*U27</f>
        <v>96989.485734601461</v>
      </c>
      <c r="V31" s="138">
        <f t="shared" si="47"/>
        <v>98328.597638817577</v>
      </c>
      <c r="W31" s="138">
        <f t="shared" ref="W31:X31" si="48">EXP(W28*(W20-W26)/365)*W27</f>
        <v>99581.105338089372</v>
      </c>
      <c r="X31" s="138">
        <f t="shared" si="48"/>
        <v>99581.105338089372</v>
      </c>
      <c r="Y31" s="138">
        <f t="shared" ref="Y31" si="49">EXP(Y28*(Y20-Y26)/365)*Y27</f>
        <v>99581.105338089372</v>
      </c>
      <c r="Z31" s="138">
        <f t="shared" si="43"/>
        <v>93080.582068680102</v>
      </c>
      <c r="AA31" s="138">
        <f t="shared" si="43"/>
        <v>94266.240651160449</v>
      </c>
      <c r="AB31" s="138">
        <f t="shared" si="43"/>
        <v>95567.753326122867</v>
      </c>
      <c r="AC31" s="138">
        <f t="shared" ref="AC31:AD31" si="50">EXP(AC28*(AC20-AC26)/365)*AC27</f>
        <v>96989.485734601461</v>
      </c>
      <c r="AD31" s="138">
        <f t="shared" si="50"/>
        <v>98328.597638817577</v>
      </c>
      <c r="AE31" s="138">
        <f t="shared" ref="AE31:AF31" si="51">EXP(AE28*(AE20-AE26)/365)*AE27</f>
        <v>99581.105338089372</v>
      </c>
      <c r="AF31" s="138">
        <f t="shared" si="51"/>
        <v>99581.105338089372</v>
      </c>
      <c r="AG31" s="138">
        <f t="shared" ref="AG31" si="52">EXP(AG28*(AG20-AG26)/365)*AG27</f>
        <v>99581.105338089372</v>
      </c>
      <c r="AH31" s="138">
        <f t="shared" si="43"/>
        <v>93080.582068680102</v>
      </c>
      <c r="AI31" s="138">
        <f t="shared" si="43"/>
        <v>94266.240651160449</v>
      </c>
      <c r="AJ31" s="138">
        <f t="shared" si="43"/>
        <v>95567.753326122867</v>
      </c>
      <c r="AK31" s="138">
        <f t="shared" ref="AK31:AL31" si="53">EXP(AK28*(AK20-AK26)/365)*AK27</f>
        <v>96989.485734601461</v>
      </c>
      <c r="AL31" s="138">
        <f t="shared" si="53"/>
        <v>98328.597638817577</v>
      </c>
      <c r="AM31" s="138">
        <f t="shared" ref="AM31:AN31" si="54">EXP(AM28*(AM20-AM26)/365)*AM27</f>
        <v>99581.105338089372</v>
      </c>
      <c r="AN31" s="138">
        <f t="shared" si="54"/>
        <v>99581.105338089372</v>
      </c>
      <c r="AO31" s="138">
        <f t="shared" ref="AO31" si="55">EXP(AO28*(AO20-AO26)/365)*AO27</f>
        <v>99581.105338089372</v>
      </c>
      <c r="AP31" s="138">
        <f t="shared" ref="AP31:AR31" si="56">EXP(AP28*(AP20-AP26)/365)*AP27</f>
        <v>93080.582068680102</v>
      </c>
      <c r="AQ31" s="138">
        <f t="shared" si="56"/>
        <v>94266.240651160449</v>
      </c>
      <c r="AR31" s="138">
        <f t="shared" si="56"/>
        <v>95567.753326122867</v>
      </c>
      <c r="AS31" s="138">
        <f t="shared" ref="AS31:AT31" si="57">EXP(AS28*(AS20-AS26)/365)*AS27</f>
        <v>96989.485734601461</v>
      </c>
      <c r="AT31" s="138">
        <f t="shared" si="57"/>
        <v>98328.597638817577</v>
      </c>
      <c r="AU31" s="138">
        <f t="shared" ref="AU31:AV31" si="58">EXP(AU28*(AU20-AU26)/365)*AU27</f>
        <v>99581.105338089372</v>
      </c>
      <c r="AV31" s="138">
        <f t="shared" si="58"/>
        <v>99581.105338089372</v>
      </c>
      <c r="AW31" s="138">
        <f t="shared" ref="AW31" si="59">EXP(AW28*(AW20-AW26)/365)*AW27</f>
        <v>99581.105338089372</v>
      </c>
      <c r="AX31" s="138">
        <f t="shared" ref="AX31:BC31" si="60">EXP(AX28*(AX20-AX26)/365)*AX27</f>
        <v>93080.582068680102</v>
      </c>
      <c r="AY31" s="138">
        <f t="shared" si="60"/>
        <v>94266.240651160449</v>
      </c>
      <c r="AZ31" s="138">
        <f t="shared" si="60"/>
        <v>95567.753326122867</v>
      </c>
      <c r="BA31" s="138">
        <f t="shared" si="60"/>
        <v>96989.485734601461</v>
      </c>
      <c r="BB31" s="138">
        <f t="shared" si="60"/>
        <v>98328.597638817577</v>
      </c>
      <c r="BC31" s="138">
        <f t="shared" si="60"/>
        <v>99581.105338089372</v>
      </c>
      <c r="BD31" s="138">
        <f t="shared" ref="BD31:BE31" si="61">EXP(BD28*(BD20-BD26)/365)*BD27</f>
        <v>99581.105338089372</v>
      </c>
      <c r="BE31" s="138">
        <f t="shared" si="61"/>
        <v>99581.105338089372</v>
      </c>
      <c r="BF31" s="138">
        <f t="shared" ref="BF31:CQ31" si="62">EXP(BF28*(BF20-BF26)/365)*BF27</f>
        <v>93080.582068680102</v>
      </c>
      <c r="BG31" s="138">
        <f t="shared" si="62"/>
        <v>94266.240651160449</v>
      </c>
      <c r="BH31" s="138">
        <f t="shared" si="62"/>
        <v>95567.753326122867</v>
      </c>
      <c r="BI31" s="138">
        <f t="shared" si="62"/>
        <v>96989.485734601461</v>
      </c>
      <c r="BJ31" s="138">
        <f t="shared" si="62"/>
        <v>98328.597638817577</v>
      </c>
      <c r="BK31" s="138">
        <f t="shared" si="62"/>
        <v>99581.105338089372</v>
      </c>
      <c r="BL31" s="138">
        <f t="shared" ref="BL31:BM31" si="63">EXP(BL28*(BL20-BL26)/365)*BL27</f>
        <v>99581.105338089372</v>
      </c>
      <c r="BM31" s="138">
        <f t="shared" si="63"/>
        <v>99581.105338089372</v>
      </c>
      <c r="BN31" s="138">
        <f t="shared" si="62"/>
        <v>93080.582068680102</v>
      </c>
      <c r="BO31" s="138">
        <f t="shared" si="62"/>
        <v>94266.240651160449</v>
      </c>
      <c r="BP31" s="138">
        <f t="shared" si="62"/>
        <v>95567.753326122867</v>
      </c>
      <c r="BQ31" s="138">
        <f t="shared" si="62"/>
        <v>96989.485734601461</v>
      </c>
      <c r="BR31" s="138">
        <f t="shared" si="62"/>
        <v>98328.597638817577</v>
      </c>
      <c r="BS31" s="138">
        <f t="shared" si="62"/>
        <v>99581.105338089372</v>
      </c>
      <c r="BT31" s="138">
        <f t="shared" ref="BT31:BU31" si="64">EXP(BT28*(BT20-BT26)/365)*BT27</f>
        <v>99581.105338089372</v>
      </c>
      <c r="BU31" s="138">
        <f t="shared" si="64"/>
        <v>99581.105338089372</v>
      </c>
      <c r="BV31" s="138">
        <f t="shared" si="62"/>
        <v>93080.582068680102</v>
      </c>
      <c r="BW31" s="138">
        <f t="shared" si="62"/>
        <v>94266.240651160449</v>
      </c>
      <c r="BX31" s="138">
        <f t="shared" si="62"/>
        <v>95567.753326122867</v>
      </c>
      <c r="BY31" s="138">
        <f t="shared" si="62"/>
        <v>96989.485734601461</v>
      </c>
      <c r="BZ31" s="138">
        <f t="shared" si="62"/>
        <v>98328.597638817577</v>
      </c>
      <c r="CA31" s="138">
        <f t="shared" si="62"/>
        <v>99581.105338089372</v>
      </c>
      <c r="CB31" s="138">
        <f t="shared" ref="CB31:CC31" si="65">EXP(CB28*(CB20-CB26)/365)*CB27</f>
        <v>99581.105338089372</v>
      </c>
      <c r="CC31" s="138">
        <f t="shared" si="65"/>
        <v>99581.105338089372</v>
      </c>
      <c r="CD31" s="138">
        <f t="shared" si="62"/>
        <v>93080.582068680102</v>
      </c>
      <c r="CE31" s="138">
        <f t="shared" si="62"/>
        <v>94266.240651160449</v>
      </c>
      <c r="CF31" s="138">
        <f t="shared" si="62"/>
        <v>95567.753326122867</v>
      </c>
      <c r="CG31" s="138">
        <f t="shared" si="62"/>
        <v>96989.485734601461</v>
      </c>
      <c r="CH31" s="138">
        <f t="shared" si="62"/>
        <v>98328.597638817577</v>
      </c>
      <c r="CI31" s="138">
        <f t="shared" si="62"/>
        <v>99581.105338089372</v>
      </c>
      <c r="CJ31" s="138">
        <f t="shared" ref="CJ31:CK31" si="66">EXP(CJ28*(CJ20-CJ26)/365)*CJ27</f>
        <v>99581.105338089372</v>
      </c>
      <c r="CK31" s="138">
        <f t="shared" si="66"/>
        <v>99581.105338089372</v>
      </c>
      <c r="CL31" s="138">
        <f t="shared" si="62"/>
        <v>93080.582068680102</v>
      </c>
      <c r="CM31" s="138">
        <f t="shared" si="62"/>
        <v>94266.240651160449</v>
      </c>
      <c r="CN31" s="138">
        <f t="shared" si="62"/>
        <v>95567.753326122867</v>
      </c>
      <c r="CO31" s="138">
        <f t="shared" si="62"/>
        <v>96989.485734601461</v>
      </c>
      <c r="CP31" s="138">
        <f t="shared" si="62"/>
        <v>98328.597638817577</v>
      </c>
      <c r="CQ31" s="138">
        <f t="shared" si="62"/>
        <v>99581.105338089372</v>
      </c>
      <c r="CR31" s="138">
        <f t="shared" ref="CR31:CS31" si="67">EXP(CR28*(CR20-CR26)/365)*CR27</f>
        <v>99581.105338089372</v>
      </c>
      <c r="CS31" s="138">
        <f t="shared" si="67"/>
        <v>99581.105338089372</v>
      </c>
    </row>
    <row r="32" spans="1:97">
      <c r="A32" t="s">
        <v>3</v>
      </c>
      <c r="B32" s="244">
        <f t="shared" ref="B32:CS32" ca="1" si="68">(FORECAST(B$19,OFFSET(t,MATCH(B$20,y),MATCH(B$19,x),,2),OFFSET(t,,MATCH(B$19,x),,2))-((FORECAST(B$19,OFFSET(t,MATCH(B$20,y),MATCH(B$19,x),,2),OFFSET(t,,MATCH(B$19,x),,2))-FORECAST(B$19,OFFSET(t,MATCH(B$20,y)+1,MATCH(B$19,x),,2),OFFSET(t,,MATCH(B$19,x),,2)))*(B$20-INDEX(y,MATCH(B$20,y)))/(INDEX(y,MATCH(B$20,y)+1)-INDEX(y,MATCH(B$20,y)))))%+B33</f>
        <v>0.14106585358921053</v>
      </c>
      <c r="C32" s="244">
        <f t="shared" ca="1" si="68"/>
        <v>0.14106585358921053</v>
      </c>
      <c r="D32" s="244">
        <f t="shared" ca="1" si="68"/>
        <v>0.14106585358921053</v>
      </c>
      <c r="E32" s="244">
        <f t="shared" ca="1" si="68"/>
        <v>0.14106585358921053</v>
      </c>
      <c r="F32" s="244">
        <f t="shared" ca="1" si="68"/>
        <v>0.14106585358921053</v>
      </c>
      <c r="G32" s="244">
        <f t="shared" ca="1" si="68"/>
        <v>0.14106585358921053</v>
      </c>
      <c r="H32" s="244">
        <f t="shared" ca="1" si="68"/>
        <v>0.14106585358921053</v>
      </c>
      <c r="I32" s="244">
        <f t="shared" ca="1" si="68"/>
        <v>0.14106585358921053</v>
      </c>
      <c r="J32" s="244">
        <f t="shared" ca="1" si="68"/>
        <v>0.14718355412051456</v>
      </c>
      <c r="K32" s="244">
        <f t="shared" ca="1" si="68"/>
        <v>0.14718355412051456</v>
      </c>
      <c r="L32" s="244">
        <f t="shared" ca="1" si="68"/>
        <v>0.14718355412051456</v>
      </c>
      <c r="M32" s="244">
        <f t="shared" ca="1" si="68"/>
        <v>0.14718355412051456</v>
      </c>
      <c r="N32" s="244">
        <f t="shared" ca="1" si="68"/>
        <v>0.14718355412051456</v>
      </c>
      <c r="O32" s="244">
        <f t="shared" ca="1" si="68"/>
        <v>0.14718355412051456</v>
      </c>
      <c r="P32" s="244">
        <f t="shared" ca="1" si="68"/>
        <v>0.14718355412051456</v>
      </c>
      <c r="Q32" s="244">
        <f t="shared" ca="1" si="68"/>
        <v>0.14718355412051456</v>
      </c>
      <c r="R32" s="245">
        <f t="shared" ca="1" si="68"/>
        <v>0.14866010645719938</v>
      </c>
      <c r="S32" s="245">
        <f t="shared" ca="1" si="68"/>
        <v>0.14866010645719938</v>
      </c>
      <c r="T32" s="245">
        <f t="shared" ca="1" si="68"/>
        <v>0.14866010645719938</v>
      </c>
      <c r="U32" s="245">
        <f t="shared" ca="1" si="68"/>
        <v>0.14866010645719938</v>
      </c>
      <c r="V32" s="245">
        <f t="shared" ca="1" si="68"/>
        <v>0.14866010645719938</v>
      </c>
      <c r="W32" s="245">
        <f t="shared" ca="1" si="68"/>
        <v>0.14866010645719938</v>
      </c>
      <c r="X32" s="245">
        <f t="shared" ca="1" si="68"/>
        <v>0.14866010645719938</v>
      </c>
      <c r="Y32" s="245">
        <f t="shared" ca="1" si="68"/>
        <v>0.14866010645719938</v>
      </c>
      <c r="Z32" s="244">
        <f t="shared" ca="1" si="68"/>
        <v>0.19934808710126092</v>
      </c>
      <c r="AA32" s="244">
        <f t="shared" ca="1" si="68"/>
        <v>0.19934808710126092</v>
      </c>
      <c r="AB32" s="244">
        <f t="shared" ca="1" si="68"/>
        <v>0.19934808710126092</v>
      </c>
      <c r="AC32" s="244">
        <f t="shared" ca="1" si="68"/>
        <v>0.19934808710126092</v>
      </c>
      <c r="AD32" s="244">
        <f t="shared" ca="1" si="68"/>
        <v>0.19934808710126092</v>
      </c>
      <c r="AE32" s="244">
        <f t="shared" ca="1" si="68"/>
        <v>0.19934808710126092</v>
      </c>
      <c r="AF32" s="244">
        <f t="shared" ca="1" si="68"/>
        <v>0.19934808710126092</v>
      </c>
      <c r="AG32" s="244">
        <f t="shared" ca="1" si="68"/>
        <v>0.19934808710126092</v>
      </c>
      <c r="AH32" s="246">
        <f t="shared" ca="1" si="68"/>
        <v>0.20103526920103809</v>
      </c>
      <c r="AI32" s="246">
        <f t="shared" ca="1" si="68"/>
        <v>0.20103526920103809</v>
      </c>
      <c r="AJ32" s="246">
        <f t="shared" ca="1" si="68"/>
        <v>0.20103526920103809</v>
      </c>
      <c r="AK32" s="246">
        <f t="shared" ca="1" si="68"/>
        <v>0.20103526920103809</v>
      </c>
      <c r="AL32" s="246">
        <f t="shared" ca="1" si="68"/>
        <v>0.20103526920103809</v>
      </c>
      <c r="AM32" s="246">
        <f t="shared" ca="1" si="68"/>
        <v>0.20103526920103809</v>
      </c>
      <c r="AN32" s="246">
        <f t="shared" ca="1" si="68"/>
        <v>0.20103526920103809</v>
      </c>
      <c r="AO32" s="246">
        <f t="shared" ca="1" si="68"/>
        <v>0.20103526920103809</v>
      </c>
      <c r="AP32" s="243">
        <f t="shared" ca="1" si="68"/>
        <v>0.22632515231962899</v>
      </c>
      <c r="AQ32" s="243">
        <f t="shared" ca="1" si="68"/>
        <v>0.22632515231962899</v>
      </c>
      <c r="AR32" s="243">
        <f t="shared" ca="1" si="68"/>
        <v>0.22632515231962899</v>
      </c>
      <c r="AS32" s="243">
        <f t="shared" ca="1" si="68"/>
        <v>0.22632515231962899</v>
      </c>
      <c r="AT32" s="243">
        <f t="shared" ca="1" si="68"/>
        <v>0.22632515231962899</v>
      </c>
      <c r="AU32" s="243">
        <f t="shared" ca="1" si="68"/>
        <v>0.22632515231962899</v>
      </c>
      <c r="AV32" s="243">
        <f t="shared" ca="1" si="68"/>
        <v>0.22632515231962899</v>
      </c>
      <c r="AW32" s="243">
        <f t="shared" ca="1" si="68"/>
        <v>0.22632515231962899</v>
      </c>
      <c r="AX32" s="244">
        <f t="shared" ca="1" si="68"/>
        <v>0.14106585358921053</v>
      </c>
      <c r="AY32" s="244">
        <f t="shared" ca="1" si="68"/>
        <v>0.14106585358921053</v>
      </c>
      <c r="AZ32" s="244">
        <f t="shared" ca="1" si="68"/>
        <v>0.14106585358921053</v>
      </c>
      <c r="BA32" s="244">
        <f t="shared" ca="1" si="68"/>
        <v>0.14106585358921053</v>
      </c>
      <c r="BB32" s="244">
        <f t="shared" ca="1" si="68"/>
        <v>0.14106585358921053</v>
      </c>
      <c r="BC32" s="244">
        <f t="shared" ca="1" si="68"/>
        <v>0.14106585358921053</v>
      </c>
      <c r="BD32" s="244">
        <f t="shared" ca="1" si="68"/>
        <v>0.14106585358921053</v>
      </c>
      <c r="BE32" s="244">
        <f t="shared" ca="1" si="68"/>
        <v>0.14106585358921053</v>
      </c>
      <c r="BF32" s="244">
        <f t="shared" ca="1" si="68"/>
        <v>0.14718355412051456</v>
      </c>
      <c r="BG32" s="244">
        <f t="shared" ca="1" si="68"/>
        <v>0.14718355412051456</v>
      </c>
      <c r="BH32" s="244">
        <f t="shared" ca="1" si="68"/>
        <v>0.14718355412051456</v>
      </c>
      <c r="BI32" s="244">
        <f t="shared" ca="1" si="68"/>
        <v>0.14718355412051456</v>
      </c>
      <c r="BJ32" s="244">
        <f t="shared" ca="1" si="68"/>
        <v>0.14718355412051456</v>
      </c>
      <c r="BK32" s="244">
        <f t="shared" ca="1" si="68"/>
        <v>0.14718355412051456</v>
      </c>
      <c r="BL32" s="244">
        <f t="shared" ca="1" si="68"/>
        <v>0.14718355412051456</v>
      </c>
      <c r="BM32" s="244">
        <f t="shared" ca="1" si="68"/>
        <v>0.14718355412051456</v>
      </c>
      <c r="BN32" s="245">
        <f t="shared" ca="1" si="68"/>
        <v>0.14866010645719938</v>
      </c>
      <c r="BO32" s="245">
        <f t="shared" ca="1" si="68"/>
        <v>0.14866010645719938</v>
      </c>
      <c r="BP32" s="245">
        <f t="shared" ca="1" si="68"/>
        <v>0.14866010645719938</v>
      </c>
      <c r="BQ32" s="245">
        <f t="shared" ca="1" si="68"/>
        <v>0.14866010645719938</v>
      </c>
      <c r="BR32" s="245">
        <f t="shared" ca="1" si="68"/>
        <v>0.14866010645719938</v>
      </c>
      <c r="BS32" s="245">
        <f t="shared" ca="1" si="68"/>
        <v>0.14866010645719938</v>
      </c>
      <c r="BT32" s="245">
        <f t="shared" ca="1" si="68"/>
        <v>0.14866010645719938</v>
      </c>
      <c r="BU32" s="245">
        <f t="shared" ca="1" si="68"/>
        <v>0.14866010645719938</v>
      </c>
      <c r="BV32" s="244">
        <f t="shared" ca="1" si="68"/>
        <v>0.19934808710126092</v>
      </c>
      <c r="BW32" s="244">
        <f t="shared" ca="1" si="68"/>
        <v>0.19934808710126092</v>
      </c>
      <c r="BX32" s="244">
        <f t="shared" ca="1" si="68"/>
        <v>0.19934808710126092</v>
      </c>
      <c r="BY32" s="244">
        <f t="shared" ca="1" si="68"/>
        <v>0.19934808710126092</v>
      </c>
      <c r="BZ32" s="244">
        <f t="shared" ca="1" si="68"/>
        <v>0.19934808710126092</v>
      </c>
      <c r="CA32" s="244">
        <f t="shared" ca="1" si="68"/>
        <v>0.19934808710126092</v>
      </c>
      <c r="CB32" s="244">
        <f t="shared" ca="1" si="68"/>
        <v>0.19934808710126092</v>
      </c>
      <c r="CC32" s="244">
        <f t="shared" ca="1" si="68"/>
        <v>0.19934808710126092</v>
      </c>
      <c r="CD32" s="246">
        <f t="shared" ca="1" si="68"/>
        <v>0.20103526920103809</v>
      </c>
      <c r="CE32" s="246">
        <f t="shared" ca="1" si="68"/>
        <v>0.20103526920103809</v>
      </c>
      <c r="CF32" s="246">
        <f t="shared" ca="1" si="68"/>
        <v>0.20103526920103809</v>
      </c>
      <c r="CG32" s="246">
        <f t="shared" ca="1" si="68"/>
        <v>0.20103526920103809</v>
      </c>
      <c r="CH32" s="246">
        <f t="shared" ca="1" si="68"/>
        <v>0.20103526920103809</v>
      </c>
      <c r="CI32" s="246">
        <f t="shared" ca="1" si="68"/>
        <v>0.20103526920103809</v>
      </c>
      <c r="CJ32" s="246">
        <f t="shared" ca="1" si="68"/>
        <v>0.20103526920103809</v>
      </c>
      <c r="CK32" s="246">
        <f t="shared" ca="1" si="68"/>
        <v>0.20103526920103809</v>
      </c>
      <c r="CL32" s="243">
        <f t="shared" ca="1" si="68"/>
        <v>0.22632515231962899</v>
      </c>
      <c r="CM32" s="243">
        <f t="shared" ca="1" si="68"/>
        <v>0.22632515231962899</v>
      </c>
      <c r="CN32" s="243">
        <f t="shared" ca="1" si="68"/>
        <v>0.22632515231962899</v>
      </c>
      <c r="CO32" s="243">
        <f t="shared" ca="1" si="68"/>
        <v>0.22632515231962899</v>
      </c>
      <c r="CP32" s="243">
        <f t="shared" ca="1" si="68"/>
        <v>0.22632515231962899</v>
      </c>
      <c r="CQ32" s="243">
        <f t="shared" ca="1" si="68"/>
        <v>0.22632515231962899</v>
      </c>
      <c r="CR32" s="243">
        <f t="shared" ca="1" si="68"/>
        <v>0.22632515231962899</v>
      </c>
      <c r="CS32" s="243">
        <f t="shared" ca="1" si="68"/>
        <v>0.22632515231962899</v>
      </c>
    </row>
    <row r="33" spans="1:97">
      <c r="A33" t="s">
        <v>39</v>
      </c>
      <c r="B33" s="247">
        <v>0</v>
      </c>
      <c r="C33" s="247">
        <f>B33</f>
        <v>0</v>
      </c>
      <c r="D33" s="247">
        <f t="shared" ref="D33:BO33" si="69">C33</f>
        <v>0</v>
      </c>
      <c r="E33" s="247">
        <f t="shared" si="69"/>
        <v>0</v>
      </c>
      <c r="F33" s="247">
        <f t="shared" si="69"/>
        <v>0</v>
      </c>
      <c r="G33" s="247">
        <f t="shared" si="69"/>
        <v>0</v>
      </c>
      <c r="H33" s="247">
        <f t="shared" si="69"/>
        <v>0</v>
      </c>
      <c r="I33" s="247">
        <f t="shared" si="69"/>
        <v>0</v>
      </c>
      <c r="J33" s="247">
        <f t="shared" si="69"/>
        <v>0</v>
      </c>
      <c r="K33" s="247">
        <f t="shared" si="69"/>
        <v>0</v>
      </c>
      <c r="L33" s="247">
        <f t="shared" si="69"/>
        <v>0</v>
      </c>
      <c r="M33" s="247">
        <f t="shared" si="69"/>
        <v>0</v>
      </c>
      <c r="N33" s="247">
        <f t="shared" si="69"/>
        <v>0</v>
      </c>
      <c r="O33" s="247">
        <f t="shared" si="69"/>
        <v>0</v>
      </c>
      <c r="P33" s="247">
        <f t="shared" si="69"/>
        <v>0</v>
      </c>
      <c r="Q33" s="247">
        <f t="shared" si="69"/>
        <v>0</v>
      </c>
      <c r="R33" s="247">
        <f t="shared" si="69"/>
        <v>0</v>
      </c>
      <c r="S33" s="247">
        <f t="shared" si="69"/>
        <v>0</v>
      </c>
      <c r="T33" s="247">
        <f t="shared" si="69"/>
        <v>0</v>
      </c>
      <c r="U33" s="247">
        <f t="shared" si="69"/>
        <v>0</v>
      </c>
      <c r="V33" s="247">
        <f t="shared" si="69"/>
        <v>0</v>
      </c>
      <c r="W33" s="247">
        <f t="shared" si="69"/>
        <v>0</v>
      </c>
      <c r="X33" s="247">
        <f t="shared" si="69"/>
        <v>0</v>
      </c>
      <c r="Y33" s="247">
        <f t="shared" si="69"/>
        <v>0</v>
      </c>
      <c r="Z33" s="247">
        <f t="shared" si="69"/>
        <v>0</v>
      </c>
      <c r="AA33" s="247">
        <f t="shared" si="69"/>
        <v>0</v>
      </c>
      <c r="AB33" s="247">
        <f t="shared" si="69"/>
        <v>0</v>
      </c>
      <c r="AC33" s="247">
        <f t="shared" si="69"/>
        <v>0</v>
      </c>
      <c r="AD33" s="247">
        <f t="shared" si="69"/>
        <v>0</v>
      </c>
      <c r="AE33" s="247">
        <f t="shared" si="69"/>
        <v>0</v>
      </c>
      <c r="AF33" s="247">
        <f t="shared" si="69"/>
        <v>0</v>
      </c>
      <c r="AG33" s="247">
        <f t="shared" si="69"/>
        <v>0</v>
      </c>
      <c r="AH33" s="247">
        <f t="shared" si="69"/>
        <v>0</v>
      </c>
      <c r="AI33" s="247">
        <f t="shared" si="69"/>
        <v>0</v>
      </c>
      <c r="AJ33" s="247">
        <f t="shared" si="69"/>
        <v>0</v>
      </c>
      <c r="AK33" s="247">
        <f t="shared" si="69"/>
        <v>0</v>
      </c>
      <c r="AL33" s="247">
        <f t="shared" si="69"/>
        <v>0</v>
      </c>
      <c r="AM33" s="247">
        <f t="shared" si="69"/>
        <v>0</v>
      </c>
      <c r="AN33" s="247">
        <f t="shared" si="69"/>
        <v>0</v>
      </c>
      <c r="AO33" s="247">
        <f t="shared" si="69"/>
        <v>0</v>
      </c>
      <c r="AP33" s="247">
        <f t="shared" si="69"/>
        <v>0</v>
      </c>
      <c r="AQ33" s="247">
        <f t="shared" si="69"/>
        <v>0</v>
      </c>
      <c r="AR33" s="247">
        <f t="shared" si="69"/>
        <v>0</v>
      </c>
      <c r="AS33" s="247">
        <f t="shared" si="69"/>
        <v>0</v>
      </c>
      <c r="AT33" s="247">
        <f t="shared" si="69"/>
        <v>0</v>
      </c>
      <c r="AU33" s="247">
        <f t="shared" si="69"/>
        <v>0</v>
      </c>
      <c r="AV33" s="247">
        <f t="shared" si="69"/>
        <v>0</v>
      </c>
      <c r="AW33" s="247">
        <f t="shared" si="69"/>
        <v>0</v>
      </c>
      <c r="AX33" s="247">
        <f t="shared" si="69"/>
        <v>0</v>
      </c>
      <c r="AY33" s="247">
        <f t="shared" si="69"/>
        <v>0</v>
      </c>
      <c r="AZ33" s="247">
        <f t="shared" si="69"/>
        <v>0</v>
      </c>
      <c r="BA33" s="247">
        <f t="shared" si="69"/>
        <v>0</v>
      </c>
      <c r="BB33" s="247">
        <f t="shared" si="69"/>
        <v>0</v>
      </c>
      <c r="BC33" s="247">
        <f t="shared" si="69"/>
        <v>0</v>
      </c>
      <c r="BD33" s="247">
        <f t="shared" si="69"/>
        <v>0</v>
      </c>
      <c r="BE33" s="247">
        <f t="shared" si="69"/>
        <v>0</v>
      </c>
      <c r="BF33" s="247">
        <f t="shared" si="69"/>
        <v>0</v>
      </c>
      <c r="BG33" s="247">
        <f t="shared" si="69"/>
        <v>0</v>
      </c>
      <c r="BH33" s="247">
        <f t="shared" si="69"/>
        <v>0</v>
      </c>
      <c r="BI33" s="247">
        <f t="shared" si="69"/>
        <v>0</v>
      </c>
      <c r="BJ33" s="247">
        <f t="shared" si="69"/>
        <v>0</v>
      </c>
      <c r="BK33" s="247">
        <f t="shared" si="69"/>
        <v>0</v>
      </c>
      <c r="BL33" s="247">
        <f t="shared" si="69"/>
        <v>0</v>
      </c>
      <c r="BM33" s="247">
        <f t="shared" si="69"/>
        <v>0</v>
      </c>
      <c r="BN33" s="247">
        <f t="shared" si="69"/>
        <v>0</v>
      </c>
      <c r="BO33" s="247">
        <f t="shared" si="69"/>
        <v>0</v>
      </c>
      <c r="BP33" s="247">
        <f t="shared" ref="BP33:CS33" si="70">BO33</f>
        <v>0</v>
      </c>
      <c r="BQ33" s="247">
        <f t="shared" si="70"/>
        <v>0</v>
      </c>
      <c r="BR33" s="247">
        <f t="shared" si="70"/>
        <v>0</v>
      </c>
      <c r="BS33" s="247">
        <f t="shared" si="70"/>
        <v>0</v>
      </c>
      <c r="BT33" s="247">
        <f t="shared" si="70"/>
        <v>0</v>
      </c>
      <c r="BU33" s="247">
        <f t="shared" si="70"/>
        <v>0</v>
      </c>
      <c r="BV33" s="247">
        <f t="shared" si="70"/>
        <v>0</v>
      </c>
      <c r="BW33" s="247">
        <f t="shared" si="70"/>
        <v>0</v>
      </c>
      <c r="BX33" s="247">
        <f t="shared" si="70"/>
        <v>0</v>
      </c>
      <c r="BY33" s="247">
        <f t="shared" si="70"/>
        <v>0</v>
      </c>
      <c r="BZ33" s="247">
        <f t="shared" si="70"/>
        <v>0</v>
      </c>
      <c r="CA33" s="247">
        <f t="shared" si="70"/>
        <v>0</v>
      </c>
      <c r="CB33" s="247">
        <f t="shared" si="70"/>
        <v>0</v>
      </c>
      <c r="CC33" s="247">
        <f t="shared" si="70"/>
        <v>0</v>
      </c>
      <c r="CD33" s="247">
        <f t="shared" si="70"/>
        <v>0</v>
      </c>
      <c r="CE33" s="247">
        <f t="shared" si="70"/>
        <v>0</v>
      </c>
      <c r="CF33" s="247">
        <f t="shared" si="70"/>
        <v>0</v>
      </c>
      <c r="CG33" s="247">
        <f t="shared" si="70"/>
        <v>0</v>
      </c>
      <c r="CH33" s="247">
        <f t="shared" si="70"/>
        <v>0</v>
      </c>
      <c r="CI33" s="247">
        <f t="shared" si="70"/>
        <v>0</v>
      </c>
      <c r="CJ33" s="247">
        <f t="shared" si="70"/>
        <v>0</v>
      </c>
      <c r="CK33" s="247">
        <f t="shared" si="70"/>
        <v>0</v>
      </c>
      <c r="CL33" s="247">
        <f t="shared" si="70"/>
        <v>0</v>
      </c>
      <c r="CM33" s="247">
        <f t="shared" si="70"/>
        <v>0</v>
      </c>
      <c r="CN33" s="247">
        <f t="shared" si="70"/>
        <v>0</v>
      </c>
      <c r="CO33" s="247">
        <f t="shared" si="70"/>
        <v>0</v>
      </c>
      <c r="CP33" s="247">
        <f t="shared" si="70"/>
        <v>0</v>
      </c>
      <c r="CQ33" s="247">
        <f t="shared" si="70"/>
        <v>0</v>
      </c>
      <c r="CR33" s="247">
        <f t="shared" si="70"/>
        <v>0</v>
      </c>
      <c r="CS33" s="247">
        <f t="shared" si="70"/>
        <v>0</v>
      </c>
    </row>
    <row r="34" spans="1:97">
      <c r="A34" t="s">
        <v>45</v>
      </c>
      <c r="B34" s="27" t="s">
        <v>47</v>
      </c>
      <c r="C34" s="27" t="s">
        <v>47</v>
      </c>
      <c r="D34" s="27" t="s">
        <v>47</v>
      </c>
      <c r="E34" s="27" t="s">
        <v>47</v>
      </c>
      <c r="F34" s="27" t="s">
        <v>47</v>
      </c>
      <c r="G34" s="27" t="s">
        <v>47</v>
      </c>
      <c r="H34" s="27" t="s">
        <v>47</v>
      </c>
      <c r="I34" s="27" t="s">
        <v>47</v>
      </c>
      <c r="J34" s="27" t="s">
        <v>47</v>
      </c>
      <c r="K34" s="27" t="s">
        <v>47</v>
      </c>
      <c r="L34" s="27" t="s">
        <v>47</v>
      </c>
      <c r="M34" s="27" t="s">
        <v>47</v>
      </c>
      <c r="N34" s="27" t="s">
        <v>47</v>
      </c>
      <c r="O34" s="27" t="s">
        <v>47</v>
      </c>
      <c r="P34" s="27" t="s">
        <v>47</v>
      </c>
      <c r="Q34" s="27" t="s">
        <v>47</v>
      </c>
      <c r="R34" s="27" t="s">
        <v>47</v>
      </c>
      <c r="S34" s="27" t="s">
        <v>47</v>
      </c>
      <c r="T34" s="27" t="s">
        <v>47</v>
      </c>
      <c r="U34" s="27" t="s">
        <v>47</v>
      </c>
      <c r="V34" s="27" t="s">
        <v>47</v>
      </c>
      <c r="W34" s="27" t="s">
        <v>47</v>
      </c>
      <c r="X34" s="27" t="s">
        <v>47</v>
      </c>
      <c r="Y34" s="27" t="s">
        <v>47</v>
      </c>
      <c r="Z34" s="27" t="s">
        <v>47</v>
      </c>
      <c r="AA34" s="27" t="s">
        <v>47</v>
      </c>
      <c r="AB34" s="27" t="s">
        <v>47</v>
      </c>
      <c r="AC34" s="27" t="s">
        <v>47</v>
      </c>
      <c r="AD34" s="27" t="s">
        <v>47</v>
      </c>
      <c r="AE34" s="27" t="s">
        <v>47</v>
      </c>
      <c r="AF34" s="27" t="s">
        <v>47</v>
      </c>
      <c r="AG34" s="27" t="s">
        <v>47</v>
      </c>
      <c r="AH34" s="27" t="s">
        <v>47</v>
      </c>
      <c r="AI34" s="27" t="s">
        <v>47</v>
      </c>
      <c r="AJ34" s="27" t="s">
        <v>47</v>
      </c>
      <c r="AK34" s="27" t="s">
        <v>47</v>
      </c>
      <c r="AL34" s="27" t="s">
        <v>47</v>
      </c>
      <c r="AM34" s="27" t="s">
        <v>47</v>
      </c>
      <c r="AN34" s="27" t="s">
        <v>47</v>
      </c>
      <c r="AO34" s="27" t="s">
        <v>47</v>
      </c>
      <c r="AP34" s="27" t="s">
        <v>47</v>
      </c>
      <c r="AQ34" s="27" t="s">
        <v>47</v>
      </c>
      <c r="AR34" s="27" t="s">
        <v>47</v>
      </c>
      <c r="AS34" s="27" t="s">
        <v>47</v>
      </c>
      <c r="AT34" s="27" t="s">
        <v>47</v>
      </c>
      <c r="AU34" s="27" t="s">
        <v>47</v>
      </c>
      <c r="AV34" s="27" t="s">
        <v>47</v>
      </c>
      <c r="AW34" s="27" t="s">
        <v>47</v>
      </c>
      <c r="AX34" s="27" t="s">
        <v>47</v>
      </c>
      <c r="AY34" s="27" t="s">
        <v>47</v>
      </c>
      <c r="AZ34" s="27" t="s">
        <v>47</v>
      </c>
      <c r="BA34" s="27" t="s">
        <v>47</v>
      </c>
      <c r="BB34" s="27" t="s">
        <v>47</v>
      </c>
      <c r="BC34" s="27" t="s">
        <v>47</v>
      </c>
      <c r="BD34" s="27" t="s">
        <v>47</v>
      </c>
      <c r="BE34" s="27" t="s">
        <v>47</v>
      </c>
      <c r="BF34" s="27" t="s">
        <v>47</v>
      </c>
      <c r="BG34" s="27" t="s">
        <v>47</v>
      </c>
      <c r="BH34" s="27" t="s">
        <v>47</v>
      </c>
      <c r="BI34" s="27" t="s">
        <v>47</v>
      </c>
      <c r="BJ34" s="27" t="s">
        <v>47</v>
      </c>
      <c r="BK34" s="27" t="s">
        <v>47</v>
      </c>
      <c r="BL34" s="27" t="s">
        <v>47</v>
      </c>
      <c r="BM34" s="27" t="s">
        <v>47</v>
      </c>
      <c r="BN34" s="27" t="s">
        <v>47</v>
      </c>
      <c r="BO34" s="27" t="s">
        <v>47</v>
      </c>
      <c r="BP34" s="27" t="s">
        <v>47</v>
      </c>
      <c r="BQ34" s="27" t="s">
        <v>47</v>
      </c>
      <c r="BR34" s="27" t="s">
        <v>47</v>
      </c>
      <c r="BS34" s="27" t="s">
        <v>47</v>
      </c>
      <c r="BT34" s="27" t="s">
        <v>47</v>
      </c>
      <c r="BU34" s="27" t="s">
        <v>47</v>
      </c>
      <c r="BV34" s="27" t="s">
        <v>47</v>
      </c>
      <c r="BW34" s="27" t="s">
        <v>47</v>
      </c>
      <c r="BX34" s="27" t="s">
        <v>47</v>
      </c>
      <c r="BY34" s="27" t="s">
        <v>47</v>
      </c>
      <c r="BZ34" s="27" t="s">
        <v>47</v>
      </c>
      <c r="CA34" s="27" t="s">
        <v>47</v>
      </c>
      <c r="CB34" s="27" t="s">
        <v>47</v>
      </c>
      <c r="CC34" s="27" t="s">
        <v>47</v>
      </c>
      <c r="CD34" s="27" t="s">
        <v>47</v>
      </c>
      <c r="CE34" s="27" t="s">
        <v>47</v>
      </c>
      <c r="CF34" s="27" t="s">
        <v>47</v>
      </c>
      <c r="CG34" s="27" t="s">
        <v>47</v>
      </c>
      <c r="CH34" s="27" t="s">
        <v>47</v>
      </c>
      <c r="CI34" s="27" t="s">
        <v>47</v>
      </c>
      <c r="CJ34" s="27" t="s">
        <v>47</v>
      </c>
      <c r="CK34" s="27" t="s">
        <v>47</v>
      </c>
      <c r="CL34" s="27" t="s">
        <v>47</v>
      </c>
      <c r="CM34" s="27" t="s">
        <v>47</v>
      </c>
      <c r="CN34" s="27" t="s">
        <v>47</v>
      </c>
      <c r="CO34" s="27" t="s">
        <v>47</v>
      </c>
      <c r="CP34" s="27" t="s">
        <v>47</v>
      </c>
      <c r="CQ34" s="27" t="s">
        <v>47</v>
      </c>
      <c r="CR34" s="27" t="s">
        <v>47</v>
      </c>
      <c r="CS34" s="27" t="s">
        <v>47</v>
      </c>
    </row>
    <row r="35" spans="1:97">
      <c r="A35" t="s">
        <v>12</v>
      </c>
      <c r="B35" s="256">
        <f ca="1">IF(B$25="C",B27*EXP(B28*(B20-B26)/365)*NORMDIST((LN(B27*EXP(B28*(B20-B26)/365)/B19)+0.5*B32*B32*(B20-B26)/365)/B32/SQRT((B20-B26)/365),0,1,TRUE)-B19*NORMDIST((LN(B27*EXP(B28*(B20-B26)/365)/B19)-0.5*B32*B32*(B20-B26)/365)/B32/SQRT((B20-B26)/365),0,1,TRUE),IF(B$25="P",-1*B27*EXP(B28*(B20-B26)/365)*NORMDIST((-1*LN(B27*EXP(B28*(B20-B26)/365)/B19)-0.5*B32*B32*(B20-B26)/365)/B32/SQRT((B20-B26)/365),0,1,TRUE)+B19*NORMDIST((-1*LN(B27*EXP(B28*(B20-B26)/365)/B19)+0.5*B32*B32*(B20-B26)/365)/B32/SQRT((B20-B26)/365),0,1,TRUE),0))*EXP(-1*B29*(B20-B26)/365)</f>
        <v>14392.535436558752</v>
      </c>
      <c r="C35" s="256">
        <f t="shared" ref="C35:BN35" ca="1" si="71">IF(C$25="C",C27*EXP(C28*(C20-C26)/365)*NORMDIST((LN(C27*EXP(C28*(C20-C26)/365)/C19)+0.5*C32*C32*(C20-C26)/365)/C32/SQRT((C20-C26)/365),0,1,TRUE)-C19*NORMDIST((LN(C27*EXP(C28*(C20-C26)/365)/C19)-0.5*C32*C32*(C20-C26)/365)/C32/SQRT((C20-C26)/365),0,1,TRUE),IF(C$25="P",-1*C27*EXP(C28*(C20-C26)/365)*NORMDIST((-1*LN(C27*EXP(C28*(C20-C26)/365)/C19)-0.5*C32*C32*(C20-C26)/365)/C32/SQRT((C20-C26)/365),0,1,TRUE)+C19*NORMDIST((-1*LN(C27*EXP(C28*(C20-C26)/365)/C19)+0.5*C32*C32*(C20-C26)/365)/C32/SQRT((C20-C26)/365),0,1,TRUE),0))*EXP(-1*C29*(C20-C26)/365)</f>
        <v>13833.102316555856</v>
      </c>
      <c r="D35" s="256">
        <f t="shared" ca="1" si="71"/>
        <v>13259.598020706779</v>
      </c>
      <c r="E35" s="256">
        <f t="shared" ca="1" si="71"/>
        <v>12676.669515732021</v>
      </c>
      <c r="F35" s="256">
        <f t="shared" ca="1" si="71"/>
        <v>12164.947833853705</v>
      </c>
      <c r="G35" s="256">
        <f t="shared" ca="1" si="71"/>
        <v>11715.918167307553</v>
      </c>
      <c r="H35" s="256">
        <f t="shared" si="71"/>
        <v>0</v>
      </c>
      <c r="I35" s="256">
        <f t="shared" si="71"/>
        <v>0</v>
      </c>
      <c r="J35" s="256">
        <f t="shared" ca="1" si="71"/>
        <v>10520.548708389071</v>
      </c>
      <c r="K35" s="256">
        <f t="shared" ca="1" si="71"/>
        <v>10149.948734589223</v>
      </c>
      <c r="L35" s="256">
        <f t="shared" ca="1" si="71"/>
        <v>9768.5670052012792</v>
      </c>
      <c r="M35" s="256">
        <f t="shared" ca="1" si="71"/>
        <v>9379.1977652990699</v>
      </c>
      <c r="N35" s="256">
        <f t="shared" ca="1" si="71"/>
        <v>9035.8076650601051</v>
      </c>
      <c r="O35" s="256">
        <f t="shared" ca="1" si="71"/>
        <v>8733.163836408994</v>
      </c>
      <c r="P35" s="256">
        <f t="shared" si="71"/>
        <v>0</v>
      </c>
      <c r="Q35" s="256">
        <f t="shared" si="71"/>
        <v>0</v>
      </c>
      <c r="R35" s="256">
        <f t="shared" ca="1" si="71"/>
        <v>9840.0455258319143</v>
      </c>
      <c r="S35" s="256">
        <f t="shared" ca="1" si="71"/>
        <v>9504.1476281745799</v>
      </c>
      <c r="T35" s="256">
        <f t="shared" ca="1" si="71"/>
        <v>9157.8395320422969</v>
      </c>
      <c r="U35" s="256">
        <f t="shared" ca="1" si="71"/>
        <v>8803.5920016274686</v>
      </c>
      <c r="V35" s="256">
        <f t="shared" ca="1" si="71"/>
        <v>8490.5877326079681</v>
      </c>
      <c r="W35" s="256">
        <f t="shared" ca="1" si="71"/>
        <v>8214.2589711158707</v>
      </c>
      <c r="X35" s="256">
        <f t="shared" si="71"/>
        <v>0</v>
      </c>
      <c r="Y35" s="256">
        <f t="shared" si="71"/>
        <v>0</v>
      </c>
      <c r="Z35" s="256">
        <f t="shared" ca="1" si="71"/>
        <v>2165.3605554035353</v>
      </c>
      <c r="AA35" s="256">
        <f t="shared" ca="1" si="71"/>
        <v>2200.0160223607563</v>
      </c>
      <c r="AB35" s="256">
        <f t="shared" ca="1" si="71"/>
        <v>2230.2897505753172</v>
      </c>
      <c r="AC35" s="256">
        <f t="shared" ca="1" si="71"/>
        <v>2255.4349165389594</v>
      </c>
      <c r="AD35" s="256">
        <f t="shared" ca="1" si="71"/>
        <v>2272.6800369579387</v>
      </c>
      <c r="AE35" s="256">
        <f t="shared" ca="1" si="71"/>
        <v>2283.9753048293501</v>
      </c>
      <c r="AF35" s="256">
        <f t="shared" si="71"/>
        <v>0</v>
      </c>
      <c r="AG35" s="256">
        <f t="shared" si="71"/>
        <v>0</v>
      </c>
      <c r="AH35" s="256">
        <f t="shared" ca="1" si="71"/>
        <v>2076.5661580414803</v>
      </c>
      <c r="AI35" s="256">
        <f t="shared" ca="1" si="71"/>
        <v>2113.6763478381895</v>
      </c>
      <c r="AJ35" s="256">
        <f t="shared" ca="1" si="71"/>
        <v>2146.6417740506554</v>
      </c>
      <c r="AK35" s="256">
        <f t="shared" ca="1" si="71"/>
        <v>2174.6951549796627</v>
      </c>
      <c r="AL35" s="256">
        <f t="shared" ca="1" si="71"/>
        <v>2194.62925732432</v>
      </c>
      <c r="AM35" s="256">
        <f t="shared" ca="1" si="71"/>
        <v>2208.384056105122</v>
      </c>
      <c r="AN35" s="256">
        <f t="shared" si="71"/>
        <v>0</v>
      </c>
      <c r="AO35" s="256">
        <f t="shared" si="71"/>
        <v>0</v>
      </c>
      <c r="AP35" s="256">
        <f ca="1">IF(AP$25="C",AP27*EXP(AP28*(AP20-AP26)/365)*NORMDIST((LN(AP27*EXP(AP28*(AP20-AP26)/365)/AP19)+0.5*AP32*AP32*(AP20-AP26)/365)/AP32/SQRT((AP20-AP26)/365),0,1,TRUE)-AP19*NORMDIST((LN(AP27*EXP(AP28*(AP20-AP26)/365)/AP19)-0.5*AP32*AP32*(AP20-AP26)/365)/AP32/SQRT((AP20-AP26)/365),0,1,TRUE),IF(AP$25="P",-1*AP27*EXP(AP28*(AP20-AP26)/365)*NORMDIST((-1*LN(AP27*EXP(AP28*(AP20-AP26)/365)/AP19)-0.5*AP32*AP32*(AP20-AP26)/365)/AP32/SQRT((AP20-AP26)/365),0,1,TRUE)+AP19*NORMDIST((-1*LN(AP27*EXP(AP28*(AP20-AP26)/365)/AP19)+0.5*AP32*AP32*(AP20-AP26)/365)/AP32/SQRT((AP20-AP26)/365),0,1,TRUE),0))*EXP(-1*AP29*(AP20-AP26)/365)</f>
        <v>1114.7305390644387</v>
      </c>
      <c r="AQ35" s="256">
        <f t="shared" ref="AQ35:AW35" ca="1" si="72">IF(AQ$25="C",AQ27*EXP(AQ28*(AQ20-AQ26)/365)*NORMDIST((LN(AQ27*EXP(AQ28*(AQ20-AQ26)/365)/AQ19)+0.5*AQ32*AQ32*(AQ20-AQ26)/365)/AQ32/SQRT((AQ20-AQ26)/365),0,1,TRUE)-AQ19*NORMDIST((LN(AQ27*EXP(AQ28*(AQ20-AQ26)/365)/AQ19)-0.5*AQ32*AQ32*(AQ20-AQ26)/365)/AQ32/SQRT((AQ20-AQ26)/365),0,1,TRUE),IF(AQ$25="P",-1*AQ27*EXP(AQ28*(AQ20-AQ26)/365)*NORMDIST((-1*LN(AQ27*EXP(AQ28*(AQ20-AQ26)/365)/AQ19)-0.5*AQ32*AQ32*(AQ20-AQ26)/365)/AQ32/SQRT((AQ20-AQ26)/365),0,1,TRUE)+AQ19*NORMDIST((-1*LN(AQ27*EXP(AQ28*(AQ20-AQ26)/365)/AQ19)+0.5*AQ32*AQ32*(AQ20-AQ26)/365)/AQ32/SQRT((AQ20-AQ26)/365),0,1,TRUE),0))*EXP(-1*AQ29*(AQ20-AQ26)/365)</f>
        <v>1167.1922758219523</v>
      </c>
      <c r="AR35" s="256">
        <f t="shared" ca="1" si="72"/>
        <v>1218.7219039416423</v>
      </c>
      <c r="AS35" s="256">
        <f t="shared" ca="1" si="72"/>
        <v>1268.4691062538143</v>
      </c>
      <c r="AT35" s="256">
        <f t="shared" ca="1" si="72"/>
        <v>1309.7125867542895</v>
      </c>
      <c r="AU35" s="256">
        <f t="shared" ca="1" si="72"/>
        <v>1343.8563802370022</v>
      </c>
      <c r="AV35" s="256">
        <f t="shared" si="72"/>
        <v>0</v>
      </c>
      <c r="AW35" s="256">
        <f t="shared" si="72"/>
        <v>0</v>
      </c>
      <c r="AX35" s="256">
        <f t="shared" ca="1" si="71"/>
        <v>14392.535436558752</v>
      </c>
      <c r="AY35" s="256">
        <f t="shared" ca="1" si="71"/>
        <v>13833.102316555856</v>
      </c>
      <c r="AZ35" s="256">
        <f t="shared" ca="1" si="71"/>
        <v>13259.598020706779</v>
      </c>
      <c r="BA35" s="256">
        <f t="shared" ca="1" si="71"/>
        <v>12676.669515732021</v>
      </c>
      <c r="BB35" s="256">
        <f t="shared" ca="1" si="71"/>
        <v>12164.947833853705</v>
      </c>
      <c r="BC35" s="256">
        <f t="shared" ca="1" si="71"/>
        <v>11715.918167307553</v>
      </c>
      <c r="BD35" s="256">
        <f t="shared" si="71"/>
        <v>0</v>
      </c>
      <c r="BE35" s="256">
        <f t="shared" si="71"/>
        <v>0</v>
      </c>
      <c r="BF35" s="256">
        <f t="shared" ca="1" si="71"/>
        <v>10520.548708389071</v>
      </c>
      <c r="BG35" s="256">
        <f t="shared" ca="1" si="71"/>
        <v>10149.948734589223</v>
      </c>
      <c r="BH35" s="256">
        <f t="shared" ca="1" si="71"/>
        <v>9768.5670052012792</v>
      </c>
      <c r="BI35" s="256">
        <f t="shared" ca="1" si="71"/>
        <v>9379.1977652990699</v>
      </c>
      <c r="BJ35" s="256">
        <f t="shared" ca="1" si="71"/>
        <v>9035.8076650601051</v>
      </c>
      <c r="BK35" s="256">
        <f t="shared" ca="1" si="71"/>
        <v>8733.163836408994</v>
      </c>
      <c r="BL35" s="256">
        <f t="shared" si="71"/>
        <v>0</v>
      </c>
      <c r="BM35" s="256">
        <f t="shared" si="71"/>
        <v>0</v>
      </c>
      <c r="BN35" s="256">
        <f t="shared" ca="1" si="71"/>
        <v>9840.0455258319143</v>
      </c>
      <c r="BO35" s="256">
        <f t="shared" ref="BO35:CK35" ca="1" si="73">IF(BO$25="C",BO27*EXP(BO28*(BO20-BO26)/365)*NORMDIST((LN(BO27*EXP(BO28*(BO20-BO26)/365)/BO19)+0.5*BO32*BO32*(BO20-BO26)/365)/BO32/SQRT((BO20-BO26)/365),0,1,TRUE)-BO19*NORMDIST((LN(BO27*EXP(BO28*(BO20-BO26)/365)/BO19)-0.5*BO32*BO32*(BO20-BO26)/365)/BO32/SQRT((BO20-BO26)/365),0,1,TRUE),IF(BO$25="P",-1*BO27*EXP(BO28*(BO20-BO26)/365)*NORMDIST((-1*LN(BO27*EXP(BO28*(BO20-BO26)/365)/BO19)-0.5*BO32*BO32*(BO20-BO26)/365)/BO32/SQRT((BO20-BO26)/365),0,1,TRUE)+BO19*NORMDIST((-1*LN(BO27*EXP(BO28*(BO20-BO26)/365)/BO19)+0.5*BO32*BO32*(BO20-BO26)/365)/BO32/SQRT((BO20-BO26)/365),0,1,TRUE),0))*EXP(-1*BO29*(BO20-BO26)/365)</f>
        <v>9504.1476281745799</v>
      </c>
      <c r="BP35" s="256">
        <f t="shared" ca="1" si="73"/>
        <v>9157.8395320422969</v>
      </c>
      <c r="BQ35" s="256">
        <f t="shared" ca="1" si="73"/>
        <v>8803.5920016274686</v>
      </c>
      <c r="BR35" s="256">
        <f t="shared" ca="1" si="73"/>
        <v>8490.5877326079681</v>
      </c>
      <c r="BS35" s="256">
        <f t="shared" ca="1" si="73"/>
        <v>8214.2589711158707</v>
      </c>
      <c r="BT35" s="256">
        <f t="shared" si="73"/>
        <v>0</v>
      </c>
      <c r="BU35" s="256">
        <f t="shared" si="73"/>
        <v>0</v>
      </c>
      <c r="BV35" s="256">
        <f t="shared" ca="1" si="73"/>
        <v>2165.3605554035353</v>
      </c>
      <c r="BW35" s="256">
        <f t="shared" ca="1" si="73"/>
        <v>2200.0160223607563</v>
      </c>
      <c r="BX35" s="256">
        <f t="shared" ca="1" si="73"/>
        <v>2230.2897505753172</v>
      </c>
      <c r="BY35" s="256">
        <f t="shared" ca="1" si="73"/>
        <v>2255.4349165389594</v>
      </c>
      <c r="BZ35" s="256">
        <f t="shared" ca="1" si="73"/>
        <v>2272.6800369579387</v>
      </c>
      <c r="CA35" s="256">
        <f t="shared" ca="1" si="73"/>
        <v>2283.9753048293501</v>
      </c>
      <c r="CB35" s="256">
        <f t="shared" si="73"/>
        <v>0</v>
      </c>
      <c r="CC35" s="256">
        <f t="shared" si="73"/>
        <v>0</v>
      </c>
      <c r="CD35" s="256">
        <f t="shared" ca="1" si="73"/>
        <v>2076.5661580414803</v>
      </c>
      <c r="CE35" s="256">
        <f t="shared" ca="1" si="73"/>
        <v>2113.6763478381895</v>
      </c>
      <c r="CF35" s="256">
        <f t="shared" ca="1" si="73"/>
        <v>2146.6417740506554</v>
      </c>
      <c r="CG35" s="256">
        <f t="shared" ca="1" si="73"/>
        <v>2174.6951549796627</v>
      </c>
      <c r="CH35" s="256">
        <f t="shared" ca="1" si="73"/>
        <v>2194.62925732432</v>
      </c>
      <c r="CI35" s="256">
        <f t="shared" ca="1" si="73"/>
        <v>2208.384056105122</v>
      </c>
      <c r="CJ35" s="256">
        <f t="shared" si="73"/>
        <v>0</v>
      </c>
      <c r="CK35" s="256">
        <f t="shared" si="73"/>
        <v>0</v>
      </c>
      <c r="CL35" s="256">
        <f ca="1">IF(CL$25="C",CL27*EXP(CL28*(CL20-CL26)/365)*NORMDIST((LN(CL27*EXP(CL28*(CL20-CL26)/365)/CL19)+0.5*CL32*CL32*(CL20-CL26)/365)/CL32/SQRT((CL20-CL26)/365),0,1,TRUE)-CL19*NORMDIST((LN(CL27*EXP(CL28*(CL20-CL26)/365)/CL19)-0.5*CL32*CL32*(CL20-CL26)/365)/CL32/SQRT((CL20-CL26)/365),0,1,TRUE),IF(CL$25="P",-1*CL27*EXP(CL28*(CL20-CL26)/365)*NORMDIST((-1*LN(CL27*EXP(CL28*(CL20-CL26)/365)/CL19)-0.5*CL32*CL32*(CL20-CL26)/365)/CL32/SQRT((CL20-CL26)/365),0,1,TRUE)+CL19*NORMDIST((-1*LN(CL27*EXP(CL28*(CL20-CL26)/365)/CL19)+0.5*CL32*CL32*(CL20-CL26)/365)/CL32/SQRT((CL20-CL26)/365),0,1,TRUE),0))*EXP(-1*CL29*(CL20-CL26)/365)</f>
        <v>1114.7305390644387</v>
      </c>
      <c r="CM35" s="256">
        <f t="shared" ref="CM35:CS35" ca="1" si="74">IF(CM$25="C",CM27*EXP(CM28*(CM20-CM26)/365)*NORMDIST((LN(CM27*EXP(CM28*(CM20-CM26)/365)/CM19)+0.5*CM32*CM32*(CM20-CM26)/365)/CM32/SQRT((CM20-CM26)/365),0,1,TRUE)-CM19*NORMDIST((LN(CM27*EXP(CM28*(CM20-CM26)/365)/CM19)-0.5*CM32*CM32*(CM20-CM26)/365)/CM32/SQRT((CM20-CM26)/365),0,1,TRUE),IF(CM$25="P",-1*CM27*EXP(CM28*(CM20-CM26)/365)*NORMDIST((-1*LN(CM27*EXP(CM28*(CM20-CM26)/365)/CM19)-0.5*CM32*CM32*(CM20-CM26)/365)/CM32/SQRT((CM20-CM26)/365),0,1,TRUE)+CM19*NORMDIST((-1*LN(CM27*EXP(CM28*(CM20-CM26)/365)/CM19)+0.5*CM32*CM32*(CM20-CM26)/365)/CM32/SQRT((CM20-CM26)/365),0,1,TRUE),0))*EXP(-1*CM29*(CM20-CM26)/365)</f>
        <v>1167.1922758219523</v>
      </c>
      <c r="CN35" s="256">
        <f t="shared" ca="1" si="74"/>
        <v>1218.7219039416423</v>
      </c>
      <c r="CO35" s="256">
        <f t="shared" ca="1" si="74"/>
        <v>1268.4691062538143</v>
      </c>
      <c r="CP35" s="256">
        <f t="shared" ca="1" si="74"/>
        <v>1309.7125867542895</v>
      </c>
      <c r="CQ35" s="256">
        <f t="shared" ca="1" si="74"/>
        <v>1343.8563802370022</v>
      </c>
      <c r="CR35" s="256">
        <f t="shared" si="74"/>
        <v>0</v>
      </c>
      <c r="CS35" s="256">
        <f t="shared" si="74"/>
        <v>0</v>
      </c>
    </row>
    <row r="36" spans="1:97">
      <c r="A36" t="s">
        <v>14</v>
      </c>
      <c r="B36" s="11">
        <f t="shared" ref="B36:G36" ca="1" si="75">B35/B27</f>
        <v>0.18740524533599073</v>
      </c>
      <c r="C36" s="11">
        <f t="shared" ca="1" si="75"/>
        <v>0.18012086507058497</v>
      </c>
      <c r="D36" s="11">
        <f t="shared" ca="1" si="75"/>
        <v>0.1726532639839943</v>
      </c>
      <c r="E36" s="11">
        <f t="shared" ca="1" si="75"/>
        <v>0.16506295024325865</v>
      </c>
      <c r="F36" s="11">
        <f t="shared" ca="1" si="75"/>
        <v>0.15839982075096948</v>
      </c>
      <c r="G36" s="11">
        <f t="shared" ca="1" si="75"/>
        <v>0.15255300417072556</v>
      </c>
      <c r="H36" s="11">
        <f t="shared" ref="H36:I36" si="76">H35/H27</f>
        <v>0</v>
      </c>
      <c r="I36" s="11">
        <f t="shared" si="76"/>
        <v>0</v>
      </c>
      <c r="J36" s="11">
        <f t="shared" ref="J36:AJ36" ca="1" si="77">J35/J27</f>
        <v>0.1369880950063031</v>
      </c>
      <c r="K36" s="11">
        <f t="shared" ca="1" si="77"/>
        <v>0.13216251168100135</v>
      </c>
      <c r="L36" s="11">
        <f t="shared" ca="1" si="77"/>
        <v>0.12719653908516099</v>
      </c>
      <c r="M36" s="11">
        <f t="shared" ref="M36:N36" ca="1" si="78">M35/M27</f>
        <v>0.12212656109192919</v>
      </c>
      <c r="N36" s="11">
        <f t="shared" ca="1" si="78"/>
        <v>0.11765527760856398</v>
      </c>
      <c r="O36" s="11">
        <f t="shared" ref="O36:P36" ca="1" si="79">O35/O27</f>
        <v>0.11371455144479738</v>
      </c>
      <c r="P36" s="11">
        <f t="shared" si="79"/>
        <v>0</v>
      </c>
      <c r="Q36" s="11">
        <f t="shared" ref="Q36" si="80">Q35/Q27</f>
        <v>0</v>
      </c>
      <c r="R36" s="11">
        <f t="shared" ca="1" si="77"/>
        <v>0.12812726110798206</v>
      </c>
      <c r="S36" s="11">
        <f t="shared" ca="1" si="77"/>
        <v>0.12375353361599213</v>
      </c>
      <c r="T36" s="11">
        <f t="shared" ca="1" si="77"/>
        <v>0.11924425489970308</v>
      </c>
      <c r="U36" s="11">
        <f t="shared" ref="U36:V36" ca="1" si="81">U35/U27</f>
        <v>0.11463159678677416</v>
      </c>
      <c r="V36" s="11">
        <f t="shared" ca="1" si="81"/>
        <v>0.11055596729915712</v>
      </c>
      <c r="W36" s="11">
        <f t="shared" ref="W36:X36" ca="1" si="82">W35/W27</f>
        <v>0.10695788970059338</v>
      </c>
      <c r="X36" s="11">
        <f t="shared" si="82"/>
        <v>0</v>
      </c>
      <c r="Y36" s="11">
        <f t="shared" ref="Y36" si="83">Y35/Y27</f>
        <v>0</v>
      </c>
      <c r="Z36" s="11">
        <f t="shared" ca="1" si="77"/>
        <v>2.8195166023041125E-2</v>
      </c>
      <c r="AA36" s="11">
        <f t="shared" ca="1" si="77"/>
        <v>2.8646414958017116E-2</v>
      </c>
      <c r="AB36" s="11">
        <f t="shared" ca="1" si="77"/>
        <v>2.9040609260215851E-2</v>
      </c>
      <c r="AC36" s="11">
        <f t="shared" ref="AC36:AD36" ca="1" si="84">AC35/AC27</f>
        <v>2.9368024538587213E-2</v>
      </c>
      <c r="AD36" s="11">
        <f t="shared" ca="1" si="84"/>
        <v>2.9592573301188019E-2</v>
      </c>
      <c r="AE36" s="11">
        <f t="shared" ref="AE36:AF36" ca="1" si="85">AE35/AE27</f>
        <v>2.97396490166454E-2</v>
      </c>
      <c r="AF36" s="11">
        <f t="shared" si="85"/>
        <v>0</v>
      </c>
      <c r="AG36" s="11">
        <f t="shared" ref="AG36" si="86">AG35/AG27</f>
        <v>0</v>
      </c>
      <c r="AH36" s="11">
        <f t="shared" ca="1" si="77"/>
        <v>2.7038973919471351E-2</v>
      </c>
      <c r="AI36" s="11">
        <f t="shared" ca="1" si="77"/>
        <v>2.752218580760413E-2</v>
      </c>
      <c r="AJ36" s="11">
        <f t="shared" ca="1" si="77"/>
        <v>2.795142871717933E-2</v>
      </c>
      <c r="AK36" s="11">
        <f t="shared" ref="AK36:AL36" ca="1" si="87">AK35/AK27</f>
        <v>2.8316711870983512E-2</v>
      </c>
      <c r="AL36" s="11">
        <f t="shared" ca="1" si="87"/>
        <v>2.8576273874976497E-2</v>
      </c>
      <c r="AM36" s="11">
        <f t="shared" ref="AM36:AN36" ca="1" si="88">AM35/AM27</f>
        <v>2.87553751494827E-2</v>
      </c>
      <c r="AN36" s="11">
        <f t="shared" si="88"/>
        <v>0</v>
      </c>
      <c r="AO36" s="11">
        <f t="shared" ref="AO36" si="89">AO35/AO27</f>
        <v>0</v>
      </c>
      <c r="AP36" s="11">
        <f t="shared" ref="AP36:AR36" ca="1" si="90">AP35/AP27</f>
        <v>1.4514909556953068E-2</v>
      </c>
      <c r="AQ36" s="11">
        <f t="shared" ca="1" si="90"/>
        <v>1.5198013982238731E-2</v>
      </c>
      <c r="AR36" s="11">
        <f t="shared" ca="1" si="90"/>
        <v>1.5868981418269017E-2</v>
      </c>
      <c r="AS36" s="11">
        <f t="shared" ref="AS36:AT36" ca="1" si="91">AS35/AS27</f>
        <v>1.6516739882730429E-2</v>
      </c>
      <c r="AT36" s="11">
        <f t="shared" ca="1" si="91"/>
        <v>1.7053771361011074E-2</v>
      </c>
      <c r="AU36" s="11">
        <f t="shared" ref="AU36:AV36" ca="1" si="92">AU35/AU27</f>
        <v>1.7498357794203077E-2</v>
      </c>
      <c r="AV36" s="11">
        <f t="shared" si="92"/>
        <v>0</v>
      </c>
      <c r="AW36" s="11">
        <f t="shared" ref="AW36" si="93">AW35/AW27</f>
        <v>0</v>
      </c>
      <c r="AX36" s="11">
        <f t="shared" ref="AX36:BC36" ca="1" si="94">AX35/AX27</f>
        <v>0.18740524533599073</v>
      </c>
      <c r="AY36" s="11">
        <f t="shared" ca="1" si="94"/>
        <v>0.18012086507058497</v>
      </c>
      <c r="AZ36" s="11">
        <f t="shared" ca="1" si="94"/>
        <v>0.1726532639839943</v>
      </c>
      <c r="BA36" s="11">
        <f t="shared" ca="1" si="94"/>
        <v>0.16506295024325865</v>
      </c>
      <c r="BB36" s="11">
        <f t="shared" ca="1" si="94"/>
        <v>0.15839982075096948</v>
      </c>
      <c r="BC36" s="11">
        <f t="shared" ca="1" si="94"/>
        <v>0.15255300417072556</v>
      </c>
      <c r="BD36" s="11">
        <f t="shared" ref="BD36:BE36" si="95">BD35/BD27</f>
        <v>0</v>
      </c>
      <c r="BE36" s="11">
        <f t="shared" si="95"/>
        <v>0</v>
      </c>
      <c r="BF36" s="11">
        <f t="shared" ref="BF36:CQ36" ca="1" si="96">BF35/BF27</f>
        <v>0.1369880950063031</v>
      </c>
      <c r="BG36" s="11">
        <f t="shared" ca="1" si="96"/>
        <v>0.13216251168100135</v>
      </c>
      <c r="BH36" s="11">
        <f t="shared" ca="1" si="96"/>
        <v>0.12719653908516099</v>
      </c>
      <c r="BI36" s="11">
        <f t="shared" ca="1" si="96"/>
        <v>0.12212656109192919</v>
      </c>
      <c r="BJ36" s="11">
        <f t="shared" ca="1" si="96"/>
        <v>0.11765527760856398</v>
      </c>
      <c r="BK36" s="11">
        <f t="shared" ca="1" si="96"/>
        <v>0.11371455144479738</v>
      </c>
      <c r="BL36" s="11">
        <f t="shared" ref="BL36:BM36" si="97">BL35/BL27</f>
        <v>0</v>
      </c>
      <c r="BM36" s="11">
        <f t="shared" si="97"/>
        <v>0</v>
      </c>
      <c r="BN36" s="11">
        <f t="shared" ca="1" si="96"/>
        <v>0.12812726110798206</v>
      </c>
      <c r="BO36" s="11">
        <f t="shared" ca="1" si="96"/>
        <v>0.12375353361599213</v>
      </c>
      <c r="BP36" s="11">
        <f t="shared" ca="1" si="96"/>
        <v>0.11924425489970308</v>
      </c>
      <c r="BQ36" s="11">
        <f t="shared" ca="1" si="96"/>
        <v>0.11463159678677416</v>
      </c>
      <c r="BR36" s="11">
        <f t="shared" ca="1" si="96"/>
        <v>0.11055596729915712</v>
      </c>
      <c r="BS36" s="11">
        <f t="shared" ca="1" si="96"/>
        <v>0.10695788970059338</v>
      </c>
      <c r="BT36" s="11">
        <f t="shared" ref="BT36:BU36" si="98">BT35/BT27</f>
        <v>0</v>
      </c>
      <c r="BU36" s="11">
        <f t="shared" si="98"/>
        <v>0</v>
      </c>
      <c r="BV36" s="11">
        <f t="shared" ca="1" si="96"/>
        <v>2.8195166023041125E-2</v>
      </c>
      <c r="BW36" s="11">
        <f t="shared" ca="1" si="96"/>
        <v>2.8646414958017116E-2</v>
      </c>
      <c r="BX36" s="11">
        <f t="shared" ca="1" si="96"/>
        <v>2.9040609260215851E-2</v>
      </c>
      <c r="BY36" s="11">
        <f t="shared" ca="1" si="96"/>
        <v>2.9368024538587213E-2</v>
      </c>
      <c r="BZ36" s="11">
        <f t="shared" ca="1" si="96"/>
        <v>2.9592573301188019E-2</v>
      </c>
      <c r="CA36" s="11">
        <f t="shared" ca="1" si="96"/>
        <v>2.97396490166454E-2</v>
      </c>
      <c r="CB36" s="11">
        <f t="shared" ref="CB36:CC36" si="99">CB35/CB27</f>
        <v>0</v>
      </c>
      <c r="CC36" s="11">
        <f t="shared" si="99"/>
        <v>0</v>
      </c>
      <c r="CD36" s="11">
        <f t="shared" ca="1" si="96"/>
        <v>2.7038973919471351E-2</v>
      </c>
      <c r="CE36" s="11">
        <f t="shared" ca="1" si="96"/>
        <v>2.752218580760413E-2</v>
      </c>
      <c r="CF36" s="11">
        <f t="shared" ca="1" si="96"/>
        <v>2.795142871717933E-2</v>
      </c>
      <c r="CG36" s="11">
        <f t="shared" ca="1" si="96"/>
        <v>2.8316711870983512E-2</v>
      </c>
      <c r="CH36" s="11">
        <f t="shared" ca="1" si="96"/>
        <v>2.8576273874976497E-2</v>
      </c>
      <c r="CI36" s="11">
        <f t="shared" ca="1" si="96"/>
        <v>2.87553751494827E-2</v>
      </c>
      <c r="CJ36" s="11">
        <f t="shared" ref="CJ36:CK36" si="100">CJ35/CJ27</f>
        <v>0</v>
      </c>
      <c r="CK36" s="11">
        <f t="shared" si="100"/>
        <v>0</v>
      </c>
      <c r="CL36" s="11">
        <f t="shared" ca="1" si="96"/>
        <v>1.4514909556953068E-2</v>
      </c>
      <c r="CM36" s="11">
        <f t="shared" ca="1" si="96"/>
        <v>1.5198013982238731E-2</v>
      </c>
      <c r="CN36" s="11">
        <f t="shared" ca="1" si="96"/>
        <v>1.5868981418269017E-2</v>
      </c>
      <c r="CO36" s="11">
        <f t="shared" ca="1" si="96"/>
        <v>1.6516739882730429E-2</v>
      </c>
      <c r="CP36" s="11">
        <f t="shared" ca="1" si="96"/>
        <v>1.7053771361011074E-2</v>
      </c>
      <c r="CQ36" s="11">
        <f t="shared" ca="1" si="96"/>
        <v>1.7498357794203077E-2</v>
      </c>
      <c r="CR36" s="11">
        <f t="shared" ref="CR36:CS36" si="101">CR35/CR27</f>
        <v>0</v>
      </c>
      <c r="CS36" s="11">
        <f t="shared" si="101"/>
        <v>0</v>
      </c>
    </row>
    <row r="37" spans="1:97">
      <c r="B37" s="297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  <c r="AK37" s="248"/>
      <c r="AL37" s="248"/>
      <c r="AM37" s="248"/>
      <c r="AN37" s="248"/>
      <c r="AO37" s="248"/>
      <c r="AP37" s="248"/>
      <c r="AQ37" s="248"/>
      <c r="AR37" s="248"/>
      <c r="AS37" s="248"/>
      <c r="AT37" s="248"/>
      <c r="AU37" s="248"/>
      <c r="AV37" s="248"/>
      <c r="AW37" s="248"/>
      <c r="AX37" s="248"/>
      <c r="AY37" s="248"/>
      <c r="AZ37" s="248"/>
      <c r="BA37" s="248"/>
      <c r="BB37" s="248"/>
      <c r="BC37" s="248"/>
      <c r="BD37" s="248"/>
      <c r="BE37" s="248"/>
      <c r="BF37" s="248"/>
      <c r="BG37" s="248"/>
      <c r="BH37" s="248"/>
      <c r="BI37" s="248"/>
      <c r="BJ37" s="248"/>
      <c r="BK37" s="248"/>
      <c r="BL37" s="248"/>
      <c r="BM37" s="248"/>
      <c r="BN37" s="248"/>
      <c r="BO37" s="248"/>
      <c r="BP37" s="248"/>
      <c r="BQ37" s="248"/>
      <c r="BR37" s="248"/>
      <c r="BS37" s="248"/>
      <c r="BT37" s="248"/>
      <c r="BU37" s="248"/>
      <c r="BV37" s="248"/>
      <c r="BW37" s="248"/>
      <c r="BX37" s="248"/>
      <c r="BY37" s="248"/>
      <c r="BZ37" s="248"/>
      <c r="CA37" s="248"/>
      <c r="CB37" s="248"/>
      <c r="CC37" s="248"/>
      <c r="CD37" s="248"/>
      <c r="CE37" s="248"/>
      <c r="CF37" s="248"/>
      <c r="CG37" s="248"/>
      <c r="CH37" s="248"/>
      <c r="CI37" s="248"/>
      <c r="CJ37" s="248"/>
      <c r="CK37" s="248"/>
      <c r="CL37" s="248"/>
      <c r="CM37" s="248"/>
      <c r="CN37" s="248"/>
      <c r="CO37" s="248"/>
      <c r="CP37" s="248"/>
      <c r="CQ37" s="248"/>
      <c r="CR37" s="248"/>
      <c r="CS37" s="248"/>
    </row>
    <row r="38" spans="1:97" hidden="1">
      <c r="A38" t="s">
        <v>37</v>
      </c>
      <c r="B38" s="245">
        <f>IF(B$34="B",0,VLOOKUP(B$20,'Pricing Params'!$B:$E,MATCH($A38,'Pricing Params'!1:1,0)-1,FALSE))</f>
        <v>0</v>
      </c>
      <c r="C38" s="245">
        <f>IF(C$34="B",0,VLOOKUP(C$20,'Pricing Params'!$B:$E,MATCH($A38,'Pricing Params'!1:1,0)-1,FALSE))</f>
        <v>0</v>
      </c>
      <c r="D38" s="245">
        <f>IF(D$34="B",0,VLOOKUP(D$20,'Pricing Params'!$B:$E,MATCH($A38,'Pricing Params'!1:1,0)-1,FALSE))</f>
        <v>0</v>
      </c>
      <c r="E38" s="245">
        <f>IF(E$34="B",0,VLOOKUP(E$20,'Pricing Params'!$B:$E,MATCH($A38,'Pricing Params'!1:1,0)-1,FALSE))</f>
        <v>0</v>
      </c>
      <c r="F38" s="245">
        <f>IF(F$34="B",0,VLOOKUP(F$20,'Pricing Params'!$B:$E,MATCH($A38,'Pricing Params'!1:1,0)-1,FALSE))</f>
        <v>0</v>
      </c>
      <c r="G38" s="245">
        <f>IF(G$34="B",0,VLOOKUP(G$20,'Pricing Params'!$B:$E,MATCH($A38,'Pricing Params'!1:1,0)-1,FALSE))</f>
        <v>0</v>
      </c>
      <c r="H38" s="245">
        <f>IF(H$34="B",0,VLOOKUP(H$20,'Pricing Params'!$B:$E,MATCH($A38,'Pricing Params'!1:1,0)-1,FALSE))</f>
        <v>0</v>
      </c>
      <c r="I38" s="245">
        <f>IF(I$34="B",0,VLOOKUP(I$20,'Pricing Params'!$B:$E,MATCH($A38,'Pricing Params'!1:1,0)-1,FALSE))</f>
        <v>0</v>
      </c>
      <c r="J38" s="245">
        <f>IF(J$34="B",0,VLOOKUP(J$20,'Pricing Params'!$B:$E,MATCH($A38,'Pricing Params'!1:1,0)-1,FALSE))</f>
        <v>0</v>
      </c>
      <c r="K38" s="245">
        <f>IF(K$34="B",0,VLOOKUP(K$20,'Pricing Params'!$B:$E,MATCH($A38,'Pricing Params'!1:1,0)-1,FALSE))</f>
        <v>0</v>
      </c>
      <c r="L38" s="245">
        <f>IF(L$34="B",0,VLOOKUP(L$20,'Pricing Params'!$B:$E,MATCH($A38,'Pricing Params'!1:1,0)-1,FALSE))</f>
        <v>0</v>
      </c>
      <c r="M38" s="245">
        <f>IF(M$34="B",0,VLOOKUP(M$20,'Pricing Params'!$B:$E,MATCH($A38,'Pricing Params'!1:1,0)-1,FALSE))</f>
        <v>0</v>
      </c>
      <c r="N38" s="245">
        <f>IF(N$34="B",0,VLOOKUP(N$20,'Pricing Params'!$B:$E,MATCH($A38,'Pricing Params'!1:1,0)-1,FALSE))</f>
        <v>0</v>
      </c>
      <c r="O38" s="245">
        <f>IF(O$34="B",0,VLOOKUP(O$20,'Pricing Params'!$B:$E,MATCH($A38,'Pricing Params'!1:1,0)-1,FALSE))</f>
        <v>0</v>
      </c>
      <c r="P38" s="245">
        <f>IF(P$34="B",0,VLOOKUP(P$20,'Pricing Params'!$B:$E,MATCH($A38,'Pricing Params'!1:1,0)-1,FALSE))</f>
        <v>0</v>
      </c>
      <c r="Q38" s="245">
        <f>IF(Q$34="B",0,VLOOKUP(Q$20,'Pricing Params'!$B:$E,MATCH($A38,'Pricing Params'!1:1,0)-1,FALSE))</f>
        <v>0</v>
      </c>
      <c r="R38" s="245">
        <f>IF(R$34="B",0,VLOOKUP(R$20,'Pricing Params'!$B:$E,MATCH($A38,'Pricing Params'!1:1,0)-1,FALSE))</f>
        <v>0</v>
      </c>
      <c r="S38" s="245">
        <f>IF(S$34="B",0,VLOOKUP(S$20,'Pricing Params'!$B:$E,MATCH($A38,'Pricing Params'!1:1,0)-1,FALSE))</f>
        <v>0</v>
      </c>
      <c r="T38" s="245">
        <f>IF(T$34="B",0,VLOOKUP(T$20,'Pricing Params'!$B:$E,MATCH($A38,'Pricing Params'!1:1,0)-1,FALSE))</f>
        <v>0</v>
      </c>
      <c r="U38" s="245">
        <f>IF(U$34="B",0,VLOOKUP(U$20,'Pricing Params'!$B:$E,MATCH($A38,'Pricing Params'!1:1,0)-1,FALSE))</f>
        <v>0</v>
      </c>
      <c r="V38" s="245">
        <f>IF(V$34="B",0,VLOOKUP(V$20,'Pricing Params'!$B:$E,MATCH($A38,'Pricing Params'!1:1,0)-1,FALSE))</f>
        <v>0</v>
      </c>
      <c r="W38" s="245">
        <f>IF(W$34="B",0,VLOOKUP(W$20,'Pricing Params'!$B:$E,MATCH($A38,'Pricing Params'!1:1,0)-1,FALSE))</f>
        <v>0</v>
      </c>
      <c r="X38" s="245">
        <f>IF(X$34="B",0,VLOOKUP(X$20,'Pricing Params'!$B:$E,MATCH($A38,'Pricing Params'!1:1,0)-1,FALSE))</f>
        <v>0</v>
      </c>
      <c r="Y38" s="245">
        <f>IF(Y$34="B",0,VLOOKUP(Y$20,'Pricing Params'!$B:$E,MATCH($A38,'Pricing Params'!1:1,0)-1,FALSE))</f>
        <v>0</v>
      </c>
      <c r="Z38" s="245">
        <f>IF(Z$34="B",0,VLOOKUP(Z$20,'Pricing Params'!$B:$E,MATCH($A38,'Pricing Params'!1:1,0)-1,FALSE))</f>
        <v>0</v>
      </c>
      <c r="AA38" s="245">
        <f>IF(AA$34="B",0,VLOOKUP(AA$20,'Pricing Params'!$B:$E,MATCH($A38,'Pricing Params'!1:1,0)-1,FALSE))</f>
        <v>0</v>
      </c>
      <c r="AB38" s="245">
        <f>IF(AB$34="B",0,VLOOKUP(AB$20,'Pricing Params'!$B:$E,MATCH($A38,'Pricing Params'!1:1,0)-1,FALSE))</f>
        <v>0</v>
      </c>
      <c r="AC38" s="245">
        <f>IF(AC$34="B",0,VLOOKUP(AC$20,'Pricing Params'!$B:$E,MATCH($A38,'Pricing Params'!1:1,0)-1,FALSE))</f>
        <v>0</v>
      </c>
      <c r="AD38" s="245">
        <f>IF(AD$34="B",0,VLOOKUP(AD$20,'Pricing Params'!$B:$E,MATCH($A38,'Pricing Params'!1:1,0)-1,FALSE))</f>
        <v>0</v>
      </c>
      <c r="AE38" s="245">
        <f>IF(AE$34="B",0,VLOOKUP(AE$20,'Pricing Params'!$B:$E,MATCH($A38,'Pricing Params'!1:1,0)-1,FALSE))</f>
        <v>0</v>
      </c>
      <c r="AF38" s="245">
        <f>IF(AF$34="B",0,VLOOKUP(AF$20,'Pricing Params'!$B:$E,MATCH($A38,'Pricing Params'!1:1,0)-1,FALSE))</f>
        <v>0</v>
      </c>
      <c r="AG38" s="245">
        <f>IF(AG$34="B",0,VLOOKUP(AG$20,'Pricing Params'!$B:$E,MATCH($A38,'Pricing Params'!1:1,0)-1,FALSE))</f>
        <v>0</v>
      </c>
      <c r="AH38" s="245">
        <f>IF(AH$34="B",0,VLOOKUP(AH$20,'Pricing Params'!$B:$E,MATCH($A38,'Pricing Params'!1:1,0)-1,FALSE))</f>
        <v>0</v>
      </c>
      <c r="AI38" s="245">
        <f>IF(AI$34="B",0,VLOOKUP(AI$20,'Pricing Params'!$B:$E,MATCH($A38,'Pricing Params'!1:1,0)-1,FALSE))</f>
        <v>0</v>
      </c>
      <c r="AJ38" s="245">
        <f>IF(AJ$34="B",0,VLOOKUP(AJ$20,'Pricing Params'!$B:$E,MATCH($A38,'Pricing Params'!1:1,0)-1,FALSE))</f>
        <v>0</v>
      </c>
      <c r="AK38" s="245">
        <f>IF(AK$34="B",0,VLOOKUP(AK$20,'Pricing Params'!$B:$E,MATCH($A38,'Pricing Params'!1:1,0)-1,FALSE))</f>
        <v>0</v>
      </c>
      <c r="AL38" s="245">
        <f>IF(AL$34="B",0,VLOOKUP(AL$20,'Pricing Params'!$B:$E,MATCH($A38,'Pricing Params'!1:1,0)-1,FALSE))</f>
        <v>0</v>
      </c>
      <c r="AM38" s="245">
        <f>IF(AM$34="B",0,VLOOKUP(AM$20,'Pricing Params'!$B:$E,MATCH($A38,'Pricing Params'!1:1,0)-1,FALSE))</f>
        <v>0</v>
      </c>
      <c r="AN38" s="245">
        <f>IF(AN$34="B",0,VLOOKUP(AN$20,'Pricing Params'!$B:$E,MATCH($A38,'Pricing Params'!1:1,0)-1,FALSE))</f>
        <v>0</v>
      </c>
      <c r="AO38" s="245">
        <f>IF(AO$34="B",0,VLOOKUP(AO$20,'Pricing Params'!$B:$E,MATCH($A38,'Pricing Params'!1:1,0)-1,FALSE))</f>
        <v>0</v>
      </c>
      <c r="AP38" s="245">
        <f>IF(AP$34="B",0,VLOOKUP(AP$20,'Pricing Params'!$B:$E,MATCH($A38,'Pricing Params'!1:1,0)-1,FALSE))</f>
        <v>0</v>
      </c>
      <c r="AQ38" s="245">
        <f>IF(AQ$34="B",0,VLOOKUP(AQ$20,'Pricing Params'!$B:$E,MATCH($A38,'Pricing Params'!1:1,0)-1,FALSE))</f>
        <v>0</v>
      </c>
      <c r="AR38" s="245">
        <f>IF(AR$34="B",0,VLOOKUP(AR$20,'Pricing Params'!$B:$E,MATCH($A38,'Pricing Params'!1:1,0)-1,FALSE))</f>
        <v>0</v>
      </c>
      <c r="AS38" s="245">
        <f>IF(AS$34="B",0,VLOOKUP(AS$20,'Pricing Params'!$B:$E,MATCH($A38,'Pricing Params'!1:1,0)-1,FALSE))</f>
        <v>0</v>
      </c>
      <c r="AT38" s="245">
        <f>IF(AT$34="B",0,VLOOKUP(AT$20,'Pricing Params'!$B:$E,MATCH($A38,'Pricing Params'!1:1,0)-1,FALSE))</f>
        <v>0</v>
      </c>
      <c r="AU38" s="245">
        <f>IF(AU$34="B",0,VLOOKUP(AU$20,'Pricing Params'!$B:$E,MATCH($A38,'Pricing Params'!1:1,0)-1,FALSE))</f>
        <v>0</v>
      </c>
      <c r="AV38" s="245">
        <f>IF(AV$34="B",0,VLOOKUP(AV$20,'Pricing Params'!$B:$E,MATCH($A38,'Pricing Params'!1:1,0)-1,FALSE))</f>
        <v>0</v>
      </c>
      <c r="AW38" s="245">
        <f>IF(AW$34="B",0,VLOOKUP(AW$20,'Pricing Params'!$B:$E,MATCH($A38,'Pricing Params'!1:1,0)-1,FALSE))</f>
        <v>0</v>
      </c>
      <c r="AX38" s="245">
        <f>IF(AX$34="B",0,VLOOKUP(AX$20,'Pricing Params'!$B:$E,MATCH($A38,'Pricing Params'!1:1,0)-1,FALSE))</f>
        <v>0</v>
      </c>
      <c r="AY38" s="245">
        <f>IF(AY$34="B",0,VLOOKUP(AY$20,'Pricing Params'!$B:$E,MATCH($A38,'Pricing Params'!1:1,0)-1,FALSE))</f>
        <v>0</v>
      </c>
      <c r="AZ38" s="245">
        <f>IF(AZ$34="B",0,VLOOKUP(AZ$20,'Pricing Params'!$B:$E,MATCH($A38,'Pricing Params'!1:1,0)-1,FALSE))</f>
        <v>0</v>
      </c>
      <c r="BA38" s="245">
        <f>IF(BA$34="B",0,VLOOKUP(BA$20,'Pricing Params'!$B:$E,MATCH($A38,'Pricing Params'!1:1,0)-1,FALSE))</f>
        <v>0</v>
      </c>
      <c r="BB38" s="245">
        <f>IF(BB$34="B",0,VLOOKUP(BB$20,'Pricing Params'!$B:$E,MATCH($A38,'Pricing Params'!1:1,0)-1,FALSE))</f>
        <v>0</v>
      </c>
      <c r="BC38" s="245">
        <f>IF(BC$34="B",0,VLOOKUP(BC$20,'Pricing Params'!$B:$E,MATCH($A38,'Pricing Params'!1:1,0)-1,FALSE))</f>
        <v>0</v>
      </c>
      <c r="BD38" s="245">
        <f>IF(BD$34="B",0,VLOOKUP(BD$20,'Pricing Params'!$B:$E,MATCH($A38,'Pricing Params'!1:1,0)-1,FALSE))</f>
        <v>0</v>
      </c>
      <c r="BE38" s="245">
        <f>IF(BE$34="B",0,VLOOKUP(BE$20,'Pricing Params'!$B:$E,MATCH($A38,'Pricing Params'!1:1,0)-1,FALSE))</f>
        <v>0</v>
      </c>
      <c r="BF38" s="245">
        <f>IF(BF$34="B",0,VLOOKUP(BF$20,'Pricing Params'!$B:$E,MATCH($A38,'Pricing Params'!1:1,0)-1,FALSE))</f>
        <v>0</v>
      </c>
      <c r="BG38" s="245">
        <f>IF(BG$34="B",0,VLOOKUP(BG$20,'Pricing Params'!$B:$E,MATCH($A38,'Pricing Params'!1:1,0)-1,FALSE))</f>
        <v>0</v>
      </c>
      <c r="BH38" s="245">
        <f>IF(BH$34="B",0,VLOOKUP(BH$20,'Pricing Params'!$B:$E,MATCH($A38,'Pricing Params'!1:1,0)-1,FALSE))</f>
        <v>0</v>
      </c>
      <c r="BI38" s="245">
        <f>IF(BI$34="B",0,VLOOKUP(BI$20,'Pricing Params'!$B:$E,MATCH($A38,'Pricing Params'!1:1,0)-1,FALSE))</f>
        <v>0</v>
      </c>
      <c r="BJ38" s="245">
        <f>IF(BJ$34="B",0,VLOOKUP(BJ$20,'Pricing Params'!$B:$E,MATCH($A38,'Pricing Params'!1:1,0)-1,FALSE))</f>
        <v>0</v>
      </c>
      <c r="BK38" s="245">
        <f>IF(BK$34="B",0,VLOOKUP(BK$20,'Pricing Params'!$B:$E,MATCH($A38,'Pricing Params'!1:1,0)-1,FALSE))</f>
        <v>0</v>
      </c>
      <c r="BL38" s="245">
        <f>IF(BL$34="B",0,VLOOKUP(BL$20,'Pricing Params'!$B:$E,MATCH($A38,'Pricing Params'!1:1,0)-1,FALSE))</f>
        <v>0</v>
      </c>
      <c r="BM38" s="245">
        <f>IF(BM$34="B",0,VLOOKUP(BM$20,'Pricing Params'!$B:$E,MATCH($A38,'Pricing Params'!1:1,0)-1,FALSE))</f>
        <v>0</v>
      </c>
      <c r="BN38" s="245">
        <f>IF(BN$34="B",0,VLOOKUP(BN$20,'Pricing Params'!$B:$E,MATCH($A38,'Pricing Params'!1:1,0)-1,FALSE))</f>
        <v>0</v>
      </c>
      <c r="BO38" s="245">
        <f>IF(BO$34="B",0,VLOOKUP(BO$20,'Pricing Params'!$B:$E,MATCH($A38,'Pricing Params'!1:1,0)-1,FALSE))</f>
        <v>0</v>
      </c>
      <c r="BP38" s="245">
        <f>IF(BP$34="B",0,VLOOKUP(BP$20,'Pricing Params'!$B:$E,MATCH($A38,'Pricing Params'!1:1,0)-1,FALSE))</f>
        <v>0</v>
      </c>
      <c r="BQ38" s="245">
        <f>IF(BQ$34="B",0,VLOOKUP(BQ$20,'Pricing Params'!$B:$E,MATCH($A38,'Pricing Params'!1:1,0)-1,FALSE))</f>
        <v>0</v>
      </c>
      <c r="BR38" s="245">
        <f>IF(BR$34="B",0,VLOOKUP(BR$20,'Pricing Params'!$B:$E,MATCH($A38,'Pricing Params'!1:1,0)-1,FALSE))</f>
        <v>0</v>
      </c>
      <c r="BS38" s="245">
        <f>IF(BS$34="B",0,VLOOKUP(BS$20,'Pricing Params'!$B:$E,MATCH($A38,'Pricing Params'!1:1,0)-1,FALSE))</f>
        <v>0</v>
      </c>
      <c r="BT38" s="245">
        <f>IF(BT$34="B",0,VLOOKUP(BT$20,'Pricing Params'!$B:$E,MATCH($A38,'Pricing Params'!1:1,0)-1,FALSE))</f>
        <v>0</v>
      </c>
      <c r="BU38" s="245">
        <f>IF(BU$34="B",0,VLOOKUP(BU$20,'Pricing Params'!$B:$E,MATCH($A38,'Pricing Params'!1:1,0)-1,FALSE))</f>
        <v>0</v>
      </c>
      <c r="BV38" s="245">
        <f>IF(BV$34="B",0,VLOOKUP(BV$20,'Pricing Params'!$B:$E,MATCH($A38,'Pricing Params'!1:1,0)-1,FALSE))</f>
        <v>0</v>
      </c>
      <c r="BW38" s="245">
        <f>IF(BW$34="B",0,VLOOKUP(BW$20,'Pricing Params'!$B:$E,MATCH($A38,'Pricing Params'!1:1,0)-1,FALSE))</f>
        <v>0</v>
      </c>
      <c r="BX38" s="245">
        <f>IF(BX$34="B",0,VLOOKUP(BX$20,'Pricing Params'!$B:$E,MATCH($A38,'Pricing Params'!1:1,0)-1,FALSE))</f>
        <v>0</v>
      </c>
      <c r="BY38" s="245">
        <f>IF(BY$34="B",0,VLOOKUP(BY$20,'Pricing Params'!$B:$E,MATCH($A38,'Pricing Params'!1:1,0)-1,FALSE))</f>
        <v>0</v>
      </c>
      <c r="BZ38" s="245">
        <f>IF(BZ$34="B",0,VLOOKUP(BZ$20,'Pricing Params'!$B:$E,MATCH($A38,'Pricing Params'!1:1,0)-1,FALSE))</f>
        <v>0</v>
      </c>
      <c r="CA38" s="245">
        <f>IF(CA$34="B",0,VLOOKUP(CA$20,'Pricing Params'!$B:$E,MATCH($A38,'Pricing Params'!1:1,0)-1,FALSE))</f>
        <v>0</v>
      </c>
      <c r="CB38" s="245">
        <f>IF(CB$34="B",0,VLOOKUP(CB$20,'Pricing Params'!$B:$E,MATCH($A38,'Pricing Params'!1:1,0)-1,FALSE))</f>
        <v>0</v>
      </c>
      <c r="CC38" s="245">
        <f>IF(CC$34="B",0,VLOOKUP(CC$20,'Pricing Params'!$B:$E,MATCH($A38,'Pricing Params'!1:1,0)-1,FALSE))</f>
        <v>0</v>
      </c>
      <c r="CD38" s="245">
        <f>IF(CD$34="B",0,VLOOKUP(CD$20,'Pricing Params'!$B:$E,MATCH($A38,'Pricing Params'!1:1,0)-1,FALSE))</f>
        <v>0</v>
      </c>
      <c r="CE38" s="245">
        <f>IF(CE$34="B",0,VLOOKUP(CE$20,'Pricing Params'!$B:$E,MATCH($A38,'Pricing Params'!1:1,0)-1,FALSE))</f>
        <v>0</v>
      </c>
      <c r="CF38" s="245">
        <f>IF(CF$34="B",0,VLOOKUP(CF$20,'Pricing Params'!$B:$E,MATCH($A38,'Pricing Params'!1:1,0)-1,FALSE))</f>
        <v>0</v>
      </c>
      <c r="CG38" s="245">
        <f>IF(CG$34="B",0,VLOOKUP(CG$20,'Pricing Params'!$B:$E,MATCH($A38,'Pricing Params'!1:1,0)-1,FALSE))</f>
        <v>0</v>
      </c>
      <c r="CH38" s="245">
        <f>IF(CH$34="B",0,VLOOKUP(CH$20,'Pricing Params'!$B:$E,MATCH($A38,'Pricing Params'!1:1,0)-1,FALSE))</f>
        <v>0</v>
      </c>
      <c r="CI38" s="245">
        <f>IF(CI$34="B",0,VLOOKUP(CI$20,'Pricing Params'!$B:$E,MATCH($A38,'Pricing Params'!1:1,0)-1,FALSE))</f>
        <v>0</v>
      </c>
      <c r="CJ38" s="245">
        <f>IF(CJ$34="B",0,VLOOKUP(CJ$20,'Pricing Params'!$B:$E,MATCH($A38,'Pricing Params'!1:1,0)-1,FALSE))</f>
        <v>0</v>
      </c>
      <c r="CK38" s="245">
        <f>IF(CK$34="B",0,VLOOKUP(CK$20,'Pricing Params'!$B:$E,MATCH($A38,'Pricing Params'!1:1,0)-1,FALSE))</f>
        <v>0</v>
      </c>
      <c r="CL38" s="245">
        <f>IF(CL$34="B",0,VLOOKUP(CL$20,'Pricing Params'!$B:$E,MATCH($A38,'Pricing Params'!1:1,0)-1,FALSE))</f>
        <v>0</v>
      </c>
      <c r="CM38" s="245">
        <f>IF(CM$34="B",0,VLOOKUP(CM$20,'Pricing Params'!$B:$E,MATCH($A38,'Pricing Params'!1:1,0)-1,FALSE))</f>
        <v>0</v>
      </c>
      <c r="CN38" s="245">
        <f>IF(CN$34="B",0,VLOOKUP(CN$20,'Pricing Params'!$B:$E,MATCH($A38,'Pricing Params'!1:1,0)-1,FALSE))</f>
        <v>0</v>
      </c>
      <c r="CO38" s="245">
        <f>IF(CO$34="B",0,VLOOKUP(CO$20,'Pricing Params'!$B:$E,MATCH($A38,'Pricing Params'!1:1,0)-1,FALSE))</f>
        <v>0</v>
      </c>
      <c r="CP38" s="245">
        <f>IF(CP$34="B",0,VLOOKUP(CP$20,'Pricing Params'!$B:$E,MATCH($A38,'Pricing Params'!1:1,0)-1,FALSE))</f>
        <v>0</v>
      </c>
      <c r="CQ38" s="245">
        <f>IF(CQ$34="B",0,VLOOKUP(CQ$20,'Pricing Params'!$B:$E,MATCH($A38,'Pricing Params'!1:1,0)-1,FALSE))</f>
        <v>0</v>
      </c>
      <c r="CR38" s="245">
        <f>IF(CR$34="B",0,VLOOKUP(CR$20,'Pricing Params'!$B:$E,MATCH($A38,'Pricing Params'!1:1,0)-1,FALSE))</f>
        <v>0</v>
      </c>
      <c r="CS38" s="245">
        <f>IF(CS$34="B",0,VLOOKUP(CS$20,'Pricing Params'!$B:$E,MATCH($A38,'Pricing Params'!1:1,0)-1,FALSE))</f>
        <v>0</v>
      </c>
    </row>
    <row r="39" spans="1:97" hidden="1">
      <c r="A39" t="s">
        <v>40</v>
      </c>
      <c r="B39" s="245">
        <f>VLOOKUP(B$20,'Pricing Params'!$B:$G,MATCH($A39,'Pricing Params'!$1:$1,0)-1,FALSE)</f>
        <v>0.03</v>
      </c>
      <c r="C39" s="245">
        <f>VLOOKUP(C$20,'Pricing Params'!$B:$G,MATCH($A39,'Pricing Params'!$1:$1,0)-1,FALSE)</f>
        <v>0.03</v>
      </c>
      <c r="D39" s="245">
        <f>VLOOKUP(D$20,'Pricing Params'!$B:$G,MATCH($A39,'Pricing Params'!$1:$1,0)-1,FALSE)</f>
        <v>0.03</v>
      </c>
      <c r="E39" s="245">
        <f>VLOOKUP(E$20,'Pricing Params'!$B:$G,MATCH($A39,'Pricing Params'!$1:$1,0)-1,FALSE)</f>
        <v>0.03</v>
      </c>
      <c r="F39" s="245">
        <f>VLOOKUP(F$20,'Pricing Params'!$B:$G,MATCH($A39,'Pricing Params'!$1:$1,0)-1,FALSE)</f>
        <v>0.03</v>
      </c>
      <c r="G39" s="245">
        <f>VLOOKUP(G$20,'Pricing Params'!$B:$G,MATCH($A39,'Pricing Params'!$1:$1,0)-1,FALSE)</f>
        <v>0.03</v>
      </c>
      <c r="H39" s="245">
        <f>VLOOKUP(H$20,'Pricing Params'!$B:$G,MATCH($A39,'Pricing Params'!$1:$1,0)-1,FALSE)</f>
        <v>0.03</v>
      </c>
      <c r="I39" s="245">
        <f>VLOOKUP(I$20,'Pricing Params'!$B:$G,MATCH($A39,'Pricing Params'!$1:$1,0)-1,FALSE)</f>
        <v>0.03</v>
      </c>
      <c r="J39" s="245">
        <f>VLOOKUP(J$20,'Pricing Params'!$B:$G,MATCH($A39,'Pricing Params'!$1:$1,0)-1,FALSE)</f>
        <v>0.03</v>
      </c>
      <c r="K39" s="245">
        <f>VLOOKUP(K$20,'Pricing Params'!$B:$G,MATCH($A39,'Pricing Params'!$1:$1,0)-1,FALSE)</f>
        <v>0.03</v>
      </c>
      <c r="L39" s="245">
        <f>VLOOKUP(L$20,'Pricing Params'!$B:$G,MATCH($A39,'Pricing Params'!$1:$1,0)-1,FALSE)</f>
        <v>0.03</v>
      </c>
      <c r="M39" s="245">
        <f>VLOOKUP(M$20,'Pricing Params'!$B:$G,MATCH($A39,'Pricing Params'!$1:$1,0)-1,FALSE)</f>
        <v>0.03</v>
      </c>
      <c r="N39" s="245">
        <f>VLOOKUP(N$20,'Pricing Params'!$B:$G,MATCH($A39,'Pricing Params'!$1:$1,0)-1,FALSE)</f>
        <v>0.03</v>
      </c>
      <c r="O39" s="245">
        <f>VLOOKUP(O$20,'Pricing Params'!$B:$G,MATCH($A39,'Pricing Params'!$1:$1,0)-1,FALSE)</f>
        <v>0.03</v>
      </c>
      <c r="P39" s="245">
        <f>VLOOKUP(P$20,'Pricing Params'!$B:$G,MATCH($A39,'Pricing Params'!$1:$1,0)-1,FALSE)</f>
        <v>0.03</v>
      </c>
      <c r="Q39" s="245">
        <f>VLOOKUP(Q$20,'Pricing Params'!$B:$G,MATCH($A39,'Pricing Params'!$1:$1,0)-1,FALSE)</f>
        <v>0.03</v>
      </c>
      <c r="R39" s="245">
        <f>VLOOKUP(R$20,'Pricing Params'!$B:$G,MATCH($A39,'Pricing Params'!$1:$1,0)-1,FALSE)</f>
        <v>0.03</v>
      </c>
      <c r="S39" s="245">
        <f>VLOOKUP(S$20,'Pricing Params'!$B:$G,MATCH($A39,'Pricing Params'!$1:$1,0)-1,FALSE)</f>
        <v>0.03</v>
      </c>
      <c r="T39" s="245">
        <f>VLOOKUP(T$20,'Pricing Params'!$B:$G,MATCH($A39,'Pricing Params'!$1:$1,0)-1,FALSE)</f>
        <v>0.03</v>
      </c>
      <c r="U39" s="245">
        <f>VLOOKUP(U$20,'Pricing Params'!$B:$G,MATCH($A39,'Pricing Params'!$1:$1,0)-1,FALSE)</f>
        <v>0.03</v>
      </c>
      <c r="V39" s="245">
        <f>VLOOKUP(V$20,'Pricing Params'!$B:$G,MATCH($A39,'Pricing Params'!$1:$1,0)-1,FALSE)</f>
        <v>0.03</v>
      </c>
      <c r="W39" s="245">
        <f>VLOOKUP(W$20,'Pricing Params'!$B:$G,MATCH($A39,'Pricing Params'!$1:$1,0)-1,FALSE)</f>
        <v>0.03</v>
      </c>
      <c r="X39" s="245">
        <f>VLOOKUP(X$20,'Pricing Params'!$B:$G,MATCH($A39,'Pricing Params'!$1:$1,0)-1,FALSE)</f>
        <v>0.03</v>
      </c>
      <c r="Y39" s="245">
        <f>VLOOKUP(Y$20,'Pricing Params'!$B:$G,MATCH($A39,'Pricing Params'!$1:$1,0)-1,FALSE)</f>
        <v>0.03</v>
      </c>
      <c r="Z39" s="245">
        <f>VLOOKUP(Z$20,'Pricing Params'!$B:$G,MATCH($A39,'Pricing Params'!$1:$1,0)-1,FALSE)</f>
        <v>0.03</v>
      </c>
      <c r="AA39" s="245">
        <f>VLOOKUP(AA$20,'Pricing Params'!$B:$G,MATCH($A39,'Pricing Params'!$1:$1,0)-1,FALSE)</f>
        <v>0.03</v>
      </c>
      <c r="AB39" s="245">
        <f>VLOOKUP(AB$20,'Pricing Params'!$B:$G,MATCH($A39,'Pricing Params'!$1:$1,0)-1,FALSE)</f>
        <v>0.03</v>
      </c>
      <c r="AC39" s="245">
        <f>VLOOKUP(AC$20,'Pricing Params'!$B:$G,MATCH($A39,'Pricing Params'!$1:$1,0)-1,FALSE)</f>
        <v>0.03</v>
      </c>
      <c r="AD39" s="245">
        <f>VLOOKUP(AD$20,'Pricing Params'!$B:$G,MATCH($A39,'Pricing Params'!$1:$1,0)-1,FALSE)</f>
        <v>0.03</v>
      </c>
      <c r="AE39" s="245">
        <f>VLOOKUP(AE$20,'Pricing Params'!$B:$G,MATCH($A39,'Pricing Params'!$1:$1,0)-1,FALSE)</f>
        <v>0.03</v>
      </c>
      <c r="AF39" s="245">
        <f>VLOOKUP(AF$20,'Pricing Params'!$B:$G,MATCH($A39,'Pricing Params'!$1:$1,0)-1,FALSE)</f>
        <v>0.03</v>
      </c>
      <c r="AG39" s="245">
        <f>VLOOKUP(AG$20,'Pricing Params'!$B:$G,MATCH($A39,'Pricing Params'!$1:$1,0)-1,FALSE)</f>
        <v>0.03</v>
      </c>
      <c r="AH39" s="245">
        <f>VLOOKUP(AH$20,'Pricing Params'!$B:$G,MATCH($A39,'Pricing Params'!$1:$1,0)-1,FALSE)</f>
        <v>0.03</v>
      </c>
      <c r="AI39" s="245">
        <f>VLOOKUP(AI$20,'Pricing Params'!$B:$G,MATCH($A39,'Pricing Params'!$1:$1,0)-1,FALSE)</f>
        <v>0.03</v>
      </c>
      <c r="AJ39" s="245">
        <f>VLOOKUP(AJ$20,'Pricing Params'!$B:$G,MATCH($A39,'Pricing Params'!$1:$1,0)-1,FALSE)</f>
        <v>0.03</v>
      </c>
      <c r="AK39" s="245">
        <f>VLOOKUP(AK$20,'Pricing Params'!$B:$G,MATCH($A39,'Pricing Params'!$1:$1,0)-1,FALSE)</f>
        <v>0.03</v>
      </c>
      <c r="AL39" s="245">
        <f>VLOOKUP(AL$20,'Pricing Params'!$B:$G,MATCH($A39,'Pricing Params'!$1:$1,0)-1,FALSE)</f>
        <v>0.03</v>
      </c>
      <c r="AM39" s="245">
        <f>VLOOKUP(AM$20,'Pricing Params'!$B:$G,MATCH($A39,'Pricing Params'!$1:$1,0)-1,FALSE)</f>
        <v>0.03</v>
      </c>
      <c r="AN39" s="245">
        <f>VLOOKUP(AN$20,'Pricing Params'!$B:$G,MATCH($A39,'Pricing Params'!$1:$1,0)-1,FALSE)</f>
        <v>0.03</v>
      </c>
      <c r="AO39" s="245">
        <f>VLOOKUP(AO$20,'Pricing Params'!$B:$G,MATCH($A39,'Pricing Params'!$1:$1,0)-1,FALSE)</f>
        <v>0.03</v>
      </c>
      <c r="AP39" s="245">
        <f>VLOOKUP(AP$20,'Pricing Params'!$B:$G,MATCH($A39,'Pricing Params'!$1:$1,0)-1,FALSE)</f>
        <v>0.03</v>
      </c>
      <c r="AQ39" s="245">
        <f>VLOOKUP(AQ$20,'Pricing Params'!$B:$G,MATCH($A39,'Pricing Params'!$1:$1,0)-1,FALSE)</f>
        <v>0.03</v>
      </c>
      <c r="AR39" s="245">
        <f>VLOOKUP(AR$20,'Pricing Params'!$B:$G,MATCH($A39,'Pricing Params'!$1:$1,0)-1,FALSE)</f>
        <v>0.03</v>
      </c>
      <c r="AS39" s="245">
        <f>VLOOKUP(AS$20,'Pricing Params'!$B:$G,MATCH($A39,'Pricing Params'!$1:$1,0)-1,FALSE)</f>
        <v>0.03</v>
      </c>
      <c r="AT39" s="245">
        <f>VLOOKUP(AT$20,'Pricing Params'!$B:$G,MATCH($A39,'Pricing Params'!$1:$1,0)-1,FALSE)</f>
        <v>0.03</v>
      </c>
      <c r="AU39" s="245">
        <f>VLOOKUP(AU$20,'Pricing Params'!$B:$G,MATCH($A39,'Pricing Params'!$1:$1,0)-1,FALSE)</f>
        <v>0.03</v>
      </c>
      <c r="AV39" s="245">
        <f>VLOOKUP(AV$20,'Pricing Params'!$B:$G,MATCH($A39,'Pricing Params'!$1:$1,0)-1,FALSE)</f>
        <v>0.03</v>
      </c>
      <c r="AW39" s="245">
        <f>VLOOKUP(AW$20,'Pricing Params'!$B:$G,MATCH($A39,'Pricing Params'!$1:$1,0)-1,FALSE)</f>
        <v>0.03</v>
      </c>
      <c r="AX39" s="245">
        <f>VLOOKUP(AX$20,'Pricing Params'!$B:$G,MATCH($A39,'Pricing Params'!$1:$1,0)-1,FALSE)</f>
        <v>0.03</v>
      </c>
      <c r="AY39" s="245">
        <f>VLOOKUP(AY$20,'Pricing Params'!$B:$G,MATCH($A39,'Pricing Params'!$1:$1,0)-1,FALSE)</f>
        <v>0.03</v>
      </c>
      <c r="AZ39" s="245">
        <f>VLOOKUP(AZ$20,'Pricing Params'!$B:$G,MATCH($A39,'Pricing Params'!$1:$1,0)-1,FALSE)</f>
        <v>0.03</v>
      </c>
      <c r="BA39" s="245">
        <f>VLOOKUP(BA$20,'Pricing Params'!$B:$G,MATCH($A39,'Pricing Params'!$1:$1,0)-1,FALSE)</f>
        <v>0.03</v>
      </c>
      <c r="BB39" s="245">
        <f>VLOOKUP(BB$20,'Pricing Params'!$B:$G,MATCH($A39,'Pricing Params'!$1:$1,0)-1,FALSE)</f>
        <v>0.03</v>
      </c>
      <c r="BC39" s="245">
        <f>VLOOKUP(BC$20,'Pricing Params'!$B:$G,MATCH($A39,'Pricing Params'!$1:$1,0)-1,FALSE)</f>
        <v>0.03</v>
      </c>
      <c r="BD39" s="245">
        <f>VLOOKUP(BD$20,'Pricing Params'!$B:$G,MATCH($A39,'Pricing Params'!$1:$1,0)-1,FALSE)</f>
        <v>0.03</v>
      </c>
      <c r="BE39" s="245">
        <f>VLOOKUP(BE$20,'Pricing Params'!$B:$G,MATCH($A39,'Pricing Params'!$1:$1,0)-1,FALSE)</f>
        <v>0.03</v>
      </c>
      <c r="BF39" s="245">
        <f>VLOOKUP(BF$20,'Pricing Params'!$B:$G,MATCH($A39,'Pricing Params'!$1:$1,0)-1,FALSE)</f>
        <v>0.03</v>
      </c>
      <c r="BG39" s="245">
        <f>VLOOKUP(BG$20,'Pricing Params'!$B:$G,MATCH($A39,'Pricing Params'!$1:$1,0)-1,FALSE)</f>
        <v>0.03</v>
      </c>
      <c r="BH39" s="245">
        <f>VLOOKUP(BH$20,'Pricing Params'!$B:$G,MATCH($A39,'Pricing Params'!$1:$1,0)-1,FALSE)</f>
        <v>0.03</v>
      </c>
      <c r="BI39" s="245">
        <f>VLOOKUP(BI$20,'Pricing Params'!$B:$G,MATCH($A39,'Pricing Params'!$1:$1,0)-1,FALSE)</f>
        <v>0.03</v>
      </c>
      <c r="BJ39" s="245">
        <f>VLOOKUP(BJ$20,'Pricing Params'!$B:$G,MATCH($A39,'Pricing Params'!$1:$1,0)-1,FALSE)</f>
        <v>0.03</v>
      </c>
      <c r="BK39" s="245">
        <f>VLOOKUP(BK$20,'Pricing Params'!$B:$G,MATCH($A39,'Pricing Params'!$1:$1,0)-1,FALSE)</f>
        <v>0.03</v>
      </c>
      <c r="BL39" s="245">
        <f>VLOOKUP(BL$20,'Pricing Params'!$B:$G,MATCH($A39,'Pricing Params'!$1:$1,0)-1,FALSE)</f>
        <v>0.03</v>
      </c>
      <c r="BM39" s="245">
        <f>VLOOKUP(BM$20,'Pricing Params'!$B:$G,MATCH($A39,'Pricing Params'!$1:$1,0)-1,FALSE)</f>
        <v>0.03</v>
      </c>
      <c r="BN39" s="245">
        <f>VLOOKUP(BN$20,'Pricing Params'!$B:$G,MATCH($A39,'Pricing Params'!$1:$1,0)-1,FALSE)</f>
        <v>0.03</v>
      </c>
      <c r="BO39" s="245">
        <f>VLOOKUP(BO$20,'Pricing Params'!$B:$G,MATCH($A39,'Pricing Params'!$1:$1,0)-1,FALSE)</f>
        <v>0.03</v>
      </c>
      <c r="BP39" s="245">
        <f>VLOOKUP(BP$20,'Pricing Params'!$B:$G,MATCH($A39,'Pricing Params'!$1:$1,0)-1,FALSE)</f>
        <v>0.03</v>
      </c>
      <c r="BQ39" s="245">
        <f>VLOOKUP(BQ$20,'Pricing Params'!$B:$G,MATCH($A39,'Pricing Params'!$1:$1,0)-1,FALSE)</f>
        <v>0.03</v>
      </c>
      <c r="BR39" s="245">
        <f>VLOOKUP(BR$20,'Pricing Params'!$B:$G,MATCH($A39,'Pricing Params'!$1:$1,0)-1,FALSE)</f>
        <v>0.03</v>
      </c>
      <c r="BS39" s="245">
        <f>VLOOKUP(BS$20,'Pricing Params'!$B:$G,MATCH($A39,'Pricing Params'!$1:$1,0)-1,FALSE)</f>
        <v>0.03</v>
      </c>
      <c r="BT39" s="245">
        <f>VLOOKUP(BT$20,'Pricing Params'!$B:$G,MATCH($A39,'Pricing Params'!$1:$1,0)-1,FALSE)</f>
        <v>0.03</v>
      </c>
      <c r="BU39" s="245">
        <f>VLOOKUP(BU$20,'Pricing Params'!$B:$G,MATCH($A39,'Pricing Params'!$1:$1,0)-1,FALSE)</f>
        <v>0.03</v>
      </c>
      <c r="BV39" s="245">
        <f>VLOOKUP(BV$20,'Pricing Params'!$B:$G,MATCH($A39,'Pricing Params'!$1:$1,0)-1,FALSE)</f>
        <v>0.03</v>
      </c>
      <c r="BW39" s="245">
        <f>VLOOKUP(BW$20,'Pricing Params'!$B:$G,MATCH($A39,'Pricing Params'!$1:$1,0)-1,FALSE)</f>
        <v>0.03</v>
      </c>
      <c r="BX39" s="245">
        <f>VLOOKUP(BX$20,'Pricing Params'!$B:$G,MATCH($A39,'Pricing Params'!$1:$1,0)-1,FALSE)</f>
        <v>0.03</v>
      </c>
      <c r="BY39" s="245">
        <f>VLOOKUP(BY$20,'Pricing Params'!$B:$G,MATCH($A39,'Pricing Params'!$1:$1,0)-1,FALSE)</f>
        <v>0.03</v>
      </c>
      <c r="BZ39" s="245">
        <f>VLOOKUP(BZ$20,'Pricing Params'!$B:$G,MATCH($A39,'Pricing Params'!$1:$1,0)-1,FALSE)</f>
        <v>0.03</v>
      </c>
      <c r="CA39" s="245">
        <f>VLOOKUP(CA$20,'Pricing Params'!$B:$G,MATCH($A39,'Pricing Params'!$1:$1,0)-1,FALSE)</f>
        <v>0.03</v>
      </c>
      <c r="CB39" s="245">
        <f>VLOOKUP(CB$20,'Pricing Params'!$B:$G,MATCH($A39,'Pricing Params'!$1:$1,0)-1,FALSE)</f>
        <v>0.03</v>
      </c>
      <c r="CC39" s="245">
        <f>VLOOKUP(CC$20,'Pricing Params'!$B:$G,MATCH($A39,'Pricing Params'!$1:$1,0)-1,FALSE)</f>
        <v>0.03</v>
      </c>
      <c r="CD39" s="245">
        <f>VLOOKUP(CD$20,'Pricing Params'!$B:$G,MATCH($A39,'Pricing Params'!$1:$1,0)-1,FALSE)</f>
        <v>0.03</v>
      </c>
      <c r="CE39" s="245">
        <f>VLOOKUP(CE$20,'Pricing Params'!$B:$G,MATCH($A39,'Pricing Params'!$1:$1,0)-1,FALSE)</f>
        <v>0.03</v>
      </c>
      <c r="CF39" s="245">
        <f>VLOOKUP(CF$20,'Pricing Params'!$B:$G,MATCH($A39,'Pricing Params'!$1:$1,0)-1,FALSE)</f>
        <v>0.03</v>
      </c>
      <c r="CG39" s="245">
        <f>VLOOKUP(CG$20,'Pricing Params'!$B:$G,MATCH($A39,'Pricing Params'!$1:$1,0)-1,FALSE)</f>
        <v>0.03</v>
      </c>
      <c r="CH39" s="245">
        <f>VLOOKUP(CH$20,'Pricing Params'!$B:$G,MATCH($A39,'Pricing Params'!$1:$1,0)-1,FALSE)</f>
        <v>0.03</v>
      </c>
      <c r="CI39" s="245">
        <f>VLOOKUP(CI$20,'Pricing Params'!$B:$G,MATCH($A39,'Pricing Params'!$1:$1,0)-1,FALSE)</f>
        <v>0.03</v>
      </c>
      <c r="CJ39" s="245">
        <f>VLOOKUP(CJ$20,'Pricing Params'!$B:$G,MATCH($A39,'Pricing Params'!$1:$1,0)-1,FALSE)</f>
        <v>0.03</v>
      </c>
      <c r="CK39" s="245">
        <f>VLOOKUP(CK$20,'Pricing Params'!$B:$G,MATCH($A39,'Pricing Params'!$1:$1,0)-1,FALSE)</f>
        <v>0.03</v>
      </c>
      <c r="CL39" s="245">
        <f>VLOOKUP(CL$20,'Pricing Params'!$B:$G,MATCH($A39,'Pricing Params'!$1:$1,0)-1,FALSE)</f>
        <v>0.03</v>
      </c>
      <c r="CM39" s="245">
        <f>VLOOKUP(CM$20,'Pricing Params'!$B:$G,MATCH($A39,'Pricing Params'!$1:$1,0)-1,FALSE)</f>
        <v>0.03</v>
      </c>
      <c r="CN39" s="245">
        <f>VLOOKUP(CN$20,'Pricing Params'!$B:$G,MATCH($A39,'Pricing Params'!$1:$1,0)-1,FALSE)</f>
        <v>0.03</v>
      </c>
      <c r="CO39" s="245">
        <f>VLOOKUP(CO$20,'Pricing Params'!$B:$G,MATCH($A39,'Pricing Params'!$1:$1,0)-1,FALSE)</f>
        <v>0.03</v>
      </c>
      <c r="CP39" s="245">
        <f>VLOOKUP(CP$20,'Pricing Params'!$B:$G,MATCH($A39,'Pricing Params'!$1:$1,0)-1,FALSE)</f>
        <v>0.03</v>
      </c>
      <c r="CQ39" s="245">
        <f>VLOOKUP(CQ$20,'Pricing Params'!$B:$G,MATCH($A39,'Pricing Params'!$1:$1,0)-1,FALSE)</f>
        <v>0.03</v>
      </c>
      <c r="CR39" s="245">
        <f>VLOOKUP(CR$20,'Pricing Params'!$B:$G,MATCH($A39,'Pricing Params'!$1:$1,0)-1,FALSE)</f>
        <v>0.03</v>
      </c>
      <c r="CS39" s="245">
        <f>VLOOKUP(CS$20,'Pricing Params'!$B:$G,MATCH($A39,'Pricing Params'!$1:$1,0)-1,FALSE)</f>
        <v>0.03</v>
      </c>
    </row>
    <row r="40" spans="1:97" hidden="1">
      <c r="A40" t="s">
        <v>38</v>
      </c>
      <c r="B40" s="249">
        <f t="shared" ref="B40:AJ40" si="102">B38*B27*B39*(B20-B26)/365</f>
        <v>0</v>
      </c>
      <c r="C40" s="249">
        <f t="shared" si="102"/>
        <v>0</v>
      </c>
      <c r="D40" s="249">
        <f t="shared" si="102"/>
        <v>0</v>
      </c>
      <c r="E40" s="249">
        <f t="shared" ref="E40:F40" si="103">E38*E27*E39*(E20-E26)/365</f>
        <v>0</v>
      </c>
      <c r="F40" s="249">
        <f t="shared" si="103"/>
        <v>0</v>
      </c>
      <c r="G40" s="249">
        <f t="shared" ref="G40:H40" si="104">G38*G27*G39*(G20-G26)/365</f>
        <v>0</v>
      </c>
      <c r="H40" s="249">
        <f t="shared" si="104"/>
        <v>0</v>
      </c>
      <c r="I40" s="249">
        <f t="shared" ref="I40" si="105">I38*I27*I39*(I20-I26)/365</f>
        <v>0</v>
      </c>
      <c r="J40" s="249">
        <f t="shared" si="102"/>
        <v>0</v>
      </c>
      <c r="K40" s="249">
        <f t="shared" si="102"/>
        <v>0</v>
      </c>
      <c r="L40" s="249">
        <f t="shared" si="102"/>
        <v>0</v>
      </c>
      <c r="M40" s="249">
        <f t="shared" ref="M40:N40" si="106">M38*M27*M39*(M20-M26)/365</f>
        <v>0</v>
      </c>
      <c r="N40" s="249">
        <f t="shared" si="106"/>
        <v>0</v>
      </c>
      <c r="O40" s="249">
        <f t="shared" ref="O40:P40" si="107">O38*O27*O39*(O20-O26)/365</f>
        <v>0</v>
      </c>
      <c r="P40" s="249">
        <f t="shared" si="107"/>
        <v>0</v>
      </c>
      <c r="Q40" s="249">
        <f t="shared" ref="Q40" si="108">Q38*Q27*Q39*(Q20-Q26)/365</f>
        <v>0</v>
      </c>
      <c r="R40" s="249">
        <f t="shared" si="102"/>
        <v>0</v>
      </c>
      <c r="S40" s="249">
        <f t="shared" si="102"/>
        <v>0</v>
      </c>
      <c r="T40" s="249">
        <f t="shared" si="102"/>
        <v>0</v>
      </c>
      <c r="U40" s="249">
        <f t="shared" ref="U40:V40" si="109">U38*U27*U39*(U20-U26)/365</f>
        <v>0</v>
      </c>
      <c r="V40" s="249">
        <f t="shared" si="109"/>
        <v>0</v>
      </c>
      <c r="W40" s="249">
        <f t="shared" ref="W40:X40" si="110">W38*W27*W39*(W20-W26)/365</f>
        <v>0</v>
      </c>
      <c r="X40" s="249">
        <f t="shared" si="110"/>
        <v>0</v>
      </c>
      <c r="Y40" s="249">
        <f t="shared" ref="Y40" si="111">Y38*Y27*Y39*(Y20-Y26)/365</f>
        <v>0</v>
      </c>
      <c r="Z40" s="249">
        <f t="shared" si="102"/>
        <v>0</v>
      </c>
      <c r="AA40" s="249">
        <f t="shared" si="102"/>
        <v>0</v>
      </c>
      <c r="AB40" s="249">
        <f t="shared" si="102"/>
        <v>0</v>
      </c>
      <c r="AC40" s="249">
        <f t="shared" ref="AC40:AD40" si="112">AC38*AC27*AC39*(AC20-AC26)/365</f>
        <v>0</v>
      </c>
      <c r="AD40" s="249">
        <f t="shared" si="112"/>
        <v>0</v>
      </c>
      <c r="AE40" s="249">
        <f t="shared" ref="AE40:AF40" si="113">AE38*AE27*AE39*(AE20-AE26)/365</f>
        <v>0</v>
      </c>
      <c r="AF40" s="249">
        <f t="shared" si="113"/>
        <v>0</v>
      </c>
      <c r="AG40" s="249">
        <f t="shared" ref="AG40" si="114">AG38*AG27*AG39*(AG20-AG26)/365</f>
        <v>0</v>
      </c>
      <c r="AH40" s="249">
        <f t="shared" si="102"/>
        <v>0</v>
      </c>
      <c r="AI40" s="249">
        <f t="shared" si="102"/>
        <v>0</v>
      </c>
      <c r="AJ40" s="249">
        <f t="shared" si="102"/>
        <v>0</v>
      </c>
      <c r="AK40" s="249">
        <f t="shared" ref="AK40:AL40" si="115">AK38*AK27*AK39*(AK20-AK26)/365</f>
        <v>0</v>
      </c>
      <c r="AL40" s="249">
        <f t="shared" si="115"/>
        <v>0</v>
      </c>
      <c r="AM40" s="249">
        <f t="shared" ref="AM40:AN40" si="116">AM38*AM27*AM39*(AM20-AM26)/365</f>
        <v>0</v>
      </c>
      <c r="AN40" s="249">
        <f t="shared" si="116"/>
        <v>0</v>
      </c>
      <c r="AO40" s="249">
        <f t="shared" ref="AO40" si="117">AO38*AO27*AO39*(AO20-AO26)/365</f>
        <v>0</v>
      </c>
      <c r="AP40" s="249">
        <f t="shared" ref="AP40:AR40" si="118">AP38*AP27*AP39*(AP20-AP26)/365</f>
        <v>0</v>
      </c>
      <c r="AQ40" s="249">
        <f t="shared" si="118"/>
        <v>0</v>
      </c>
      <c r="AR40" s="249">
        <f t="shared" si="118"/>
        <v>0</v>
      </c>
      <c r="AS40" s="249">
        <f t="shared" ref="AS40:AT40" si="119">AS38*AS27*AS39*(AS20-AS26)/365</f>
        <v>0</v>
      </c>
      <c r="AT40" s="249">
        <f t="shared" si="119"/>
        <v>0</v>
      </c>
      <c r="AU40" s="249">
        <f t="shared" ref="AU40:CP40" si="120">AU38*AU27*AU39*(AU20-AU26)/365</f>
        <v>0</v>
      </c>
      <c r="AV40" s="249">
        <f t="shared" ref="AV40:AW40" si="121">AV38*AV27*AV39*(AV20-AV26)/365</f>
        <v>0</v>
      </c>
      <c r="AW40" s="249">
        <f t="shared" si="121"/>
        <v>0</v>
      </c>
      <c r="AX40" s="249">
        <f t="shared" si="120"/>
        <v>0</v>
      </c>
      <c r="AY40" s="249">
        <f t="shared" si="120"/>
        <v>0</v>
      </c>
      <c r="AZ40" s="249">
        <f t="shared" si="120"/>
        <v>0</v>
      </c>
      <c r="BA40" s="249">
        <f t="shared" si="120"/>
        <v>0</v>
      </c>
      <c r="BB40" s="249">
        <f t="shared" si="120"/>
        <v>0</v>
      </c>
      <c r="BC40" s="249">
        <f t="shared" si="120"/>
        <v>0</v>
      </c>
      <c r="BD40" s="249">
        <f t="shared" ref="BD40:BE40" si="122">BD38*BD27*BD39*(BD20-BD26)/365</f>
        <v>0</v>
      </c>
      <c r="BE40" s="249">
        <f t="shared" si="122"/>
        <v>0</v>
      </c>
      <c r="BF40" s="249">
        <f t="shared" si="120"/>
        <v>0</v>
      </c>
      <c r="BG40" s="249">
        <f t="shared" si="120"/>
        <v>0</v>
      </c>
      <c r="BH40" s="249">
        <f t="shared" si="120"/>
        <v>0</v>
      </c>
      <c r="BI40" s="249">
        <f t="shared" si="120"/>
        <v>0</v>
      </c>
      <c r="BJ40" s="249">
        <f t="shared" si="120"/>
        <v>0</v>
      </c>
      <c r="BK40" s="249">
        <f t="shared" si="120"/>
        <v>0</v>
      </c>
      <c r="BL40" s="249">
        <f t="shared" ref="BL40:BM40" si="123">BL38*BL27*BL39*(BL20-BL26)/365</f>
        <v>0</v>
      </c>
      <c r="BM40" s="249">
        <f t="shared" si="123"/>
        <v>0</v>
      </c>
      <c r="BN40" s="249">
        <f t="shared" si="120"/>
        <v>0</v>
      </c>
      <c r="BO40" s="249">
        <f t="shared" si="120"/>
        <v>0</v>
      </c>
      <c r="BP40" s="249">
        <f t="shared" si="120"/>
        <v>0</v>
      </c>
      <c r="BQ40" s="249">
        <f t="shared" si="120"/>
        <v>0</v>
      </c>
      <c r="BR40" s="249">
        <f t="shared" si="120"/>
        <v>0</v>
      </c>
      <c r="BS40" s="249">
        <f t="shared" si="120"/>
        <v>0</v>
      </c>
      <c r="BT40" s="249">
        <f t="shared" ref="BT40:BU40" si="124">BT38*BT27*BT39*(BT20-BT26)/365</f>
        <v>0</v>
      </c>
      <c r="BU40" s="249">
        <f t="shared" si="124"/>
        <v>0</v>
      </c>
      <c r="BV40" s="249">
        <f t="shared" si="120"/>
        <v>0</v>
      </c>
      <c r="BW40" s="249">
        <f t="shared" si="120"/>
        <v>0</v>
      </c>
      <c r="BX40" s="249">
        <f t="shared" si="120"/>
        <v>0</v>
      </c>
      <c r="BY40" s="249">
        <f t="shared" si="120"/>
        <v>0</v>
      </c>
      <c r="BZ40" s="249">
        <f t="shared" si="120"/>
        <v>0</v>
      </c>
      <c r="CA40" s="249">
        <f t="shared" si="120"/>
        <v>0</v>
      </c>
      <c r="CB40" s="249">
        <f t="shared" ref="CB40:CC40" si="125">CB38*CB27*CB39*(CB20-CB26)/365</f>
        <v>0</v>
      </c>
      <c r="CC40" s="249">
        <f t="shared" si="125"/>
        <v>0</v>
      </c>
      <c r="CD40" s="249">
        <f t="shared" si="120"/>
        <v>0</v>
      </c>
      <c r="CE40" s="249">
        <f t="shared" si="120"/>
        <v>0</v>
      </c>
      <c r="CF40" s="249">
        <f t="shared" si="120"/>
        <v>0</v>
      </c>
      <c r="CG40" s="249">
        <f t="shared" si="120"/>
        <v>0</v>
      </c>
      <c r="CH40" s="249">
        <f t="shared" si="120"/>
        <v>0</v>
      </c>
      <c r="CI40" s="249">
        <f t="shared" si="120"/>
        <v>0</v>
      </c>
      <c r="CJ40" s="249">
        <f t="shared" ref="CJ40:CK40" si="126">CJ38*CJ27*CJ39*(CJ20-CJ26)/365</f>
        <v>0</v>
      </c>
      <c r="CK40" s="249">
        <f t="shared" si="126"/>
        <v>0</v>
      </c>
      <c r="CL40" s="249">
        <f t="shared" si="120"/>
        <v>0</v>
      </c>
      <c r="CM40" s="249">
        <f t="shared" si="120"/>
        <v>0</v>
      </c>
      <c r="CN40" s="249">
        <f t="shared" si="120"/>
        <v>0</v>
      </c>
      <c r="CO40" s="249">
        <f t="shared" si="120"/>
        <v>0</v>
      </c>
      <c r="CP40" s="249">
        <f t="shared" si="120"/>
        <v>0</v>
      </c>
      <c r="CQ40" s="249">
        <f t="shared" ref="CQ40:CR40" si="127">CQ38*CQ27*CQ39*(CQ20-CQ26)/365</f>
        <v>0</v>
      </c>
      <c r="CR40" s="249">
        <f t="shared" si="127"/>
        <v>0</v>
      </c>
      <c r="CS40" s="249">
        <f t="shared" ref="CS40" si="128">CS38*CS27*CS39*(CS20-CS26)/365</f>
        <v>0</v>
      </c>
    </row>
    <row r="41" spans="1:97" hidden="1">
      <c r="A41" t="s">
        <v>46</v>
      </c>
      <c r="B41" s="250">
        <f t="shared" ref="B41:G41" ca="1" si="129">B35+B40</f>
        <v>14392.535436558752</v>
      </c>
      <c r="C41" s="250">
        <f t="shared" ca="1" si="129"/>
        <v>13833.102316555856</v>
      </c>
      <c r="D41" s="250">
        <f t="shared" ca="1" si="129"/>
        <v>13259.598020706779</v>
      </c>
      <c r="E41" s="250">
        <f t="shared" ca="1" si="129"/>
        <v>12676.669515732021</v>
      </c>
      <c r="F41" s="250">
        <f t="shared" ca="1" si="129"/>
        <v>12164.947833853705</v>
      </c>
      <c r="G41" s="250">
        <f t="shared" ca="1" si="129"/>
        <v>11715.918167307553</v>
      </c>
      <c r="H41" s="250">
        <f t="shared" ref="H41:I41" si="130">H35+H40</f>
        <v>0</v>
      </c>
      <c r="I41" s="250">
        <f t="shared" si="130"/>
        <v>0</v>
      </c>
      <c r="J41" s="250">
        <f t="shared" ref="J41:AJ41" ca="1" si="131">J35+J40</f>
        <v>10520.548708389071</v>
      </c>
      <c r="K41" s="250">
        <f t="shared" ca="1" si="131"/>
        <v>10149.948734589223</v>
      </c>
      <c r="L41" s="250">
        <f t="shared" ca="1" si="131"/>
        <v>9768.5670052012792</v>
      </c>
      <c r="M41" s="250">
        <f t="shared" ref="M41:N41" ca="1" si="132">M35+M40</f>
        <v>9379.1977652990699</v>
      </c>
      <c r="N41" s="250">
        <f t="shared" ca="1" si="132"/>
        <v>9035.8076650601051</v>
      </c>
      <c r="O41" s="250">
        <f t="shared" ref="O41:P41" ca="1" si="133">O35+O40</f>
        <v>8733.163836408994</v>
      </c>
      <c r="P41" s="250">
        <f t="shared" si="133"/>
        <v>0</v>
      </c>
      <c r="Q41" s="250">
        <f t="shared" ref="Q41" si="134">Q35+Q40</f>
        <v>0</v>
      </c>
      <c r="R41" s="250">
        <f t="shared" ca="1" si="131"/>
        <v>9840.0455258319143</v>
      </c>
      <c r="S41" s="250">
        <f t="shared" ca="1" si="131"/>
        <v>9504.1476281745799</v>
      </c>
      <c r="T41" s="250">
        <f t="shared" ca="1" si="131"/>
        <v>9157.8395320422969</v>
      </c>
      <c r="U41" s="250">
        <f t="shared" ref="U41:V41" ca="1" si="135">U35+U40</f>
        <v>8803.5920016274686</v>
      </c>
      <c r="V41" s="250">
        <f t="shared" ca="1" si="135"/>
        <v>8490.5877326079681</v>
      </c>
      <c r="W41" s="250">
        <f t="shared" ref="W41:X41" ca="1" si="136">W35+W40</f>
        <v>8214.2589711158707</v>
      </c>
      <c r="X41" s="250">
        <f t="shared" si="136"/>
        <v>0</v>
      </c>
      <c r="Y41" s="250">
        <f t="shared" ref="Y41" si="137">Y35+Y40</f>
        <v>0</v>
      </c>
      <c r="Z41" s="250">
        <f t="shared" ca="1" si="131"/>
        <v>2165.3605554035353</v>
      </c>
      <c r="AA41" s="250">
        <f t="shared" ca="1" si="131"/>
        <v>2200.0160223607563</v>
      </c>
      <c r="AB41" s="250">
        <f t="shared" ca="1" si="131"/>
        <v>2230.2897505753172</v>
      </c>
      <c r="AC41" s="250">
        <f t="shared" ref="AC41:AD41" ca="1" si="138">AC35+AC40</f>
        <v>2255.4349165389594</v>
      </c>
      <c r="AD41" s="250">
        <f t="shared" ca="1" si="138"/>
        <v>2272.6800369579387</v>
      </c>
      <c r="AE41" s="250">
        <f t="shared" ref="AE41:AF41" ca="1" si="139">AE35+AE40</f>
        <v>2283.9753048293501</v>
      </c>
      <c r="AF41" s="250">
        <f t="shared" si="139"/>
        <v>0</v>
      </c>
      <c r="AG41" s="250">
        <f t="shared" ref="AG41" si="140">AG35+AG40</f>
        <v>0</v>
      </c>
      <c r="AH41" s="250">
        <f t="shared" ca="1" si="131"/>
        <v>2076.5661580414803</v>
      </c>
      <c r="AI41" s="250">
        <f t="shared" ca="1" si="131"/>
        <v>2113.6763478381895</v>
      </c>
      <c r="AJ41" s="250">
        <f t="shared" ca="1" si="131"/>
        <v>2146.6417740506554</v>
      </c>
      <c r="AK41" s="250">
        <f t="shared" ref="AK41:AL41" ca="1" si="141">AK35+AK40</f>
        <v>2174.6951549796627</v>
      </c>
      <c r="AL41" s="250">
        <f t="shared" ca="1" si="141"/>
        <v>2194.62925732432</v>
      </c>
      <c r="AM41" s="250">
        <f t="shared" ref="AM41:AN41" ca="1" si="142">AM35+AM40</f>
        <v>2208.384056105122</v>
      </c>
      <c r="AN41" s="250">
        <f t="shared" si="142"/>
        <v>0</v>
      </c>
      <c r="AO41" s="250">
        <f t="shared" ref="AO41" si="143">AO35+AO40</f>
        <v>0</v>
      </c>
      <c r="AP41" s="250">
        <f t="shared" ref="AP41:AR41" ca="1" si="144">AP35+AP40</f>
        <v>1114.7305390644387</v>
      </c>
      <c r="AQ41" s="250">
        <f t="shared" ca="1" si="144"/>
        <v>1167.1922758219523</v>
      </c>
      <c r="AR41" s="250">
        <f t="shared" ca="1" si="144"/>
        <v>1218.7219039416423</v>
      </c>
      <c r="AS41" s="250">
        <f t="shared" ref="AS41:AT41" ca="1" si="145">AS35+AS40</f>
        <v>1268.4691062538143</v>
      </c>
      <c r="AT41" s="250">
        <f t="shared" ca="1" si="145"/>
        <v>1309.7125867542895</v>
      </c>
      <c r="AU41" s="250">
        <f t="shared" ref="AU41:AV41" ca="1" si="146">AU35+AU40</f>
        <v>1343.8563802370022</v>
      </c>
      <c r="AV41" s="250">
        <f t="shared" si="146"/>
        <v>0</v>
      </c>
      <c r="AW41" s="250">
        <f t="shared" ref="AW41" si="147">AW35+AW40</f>
        <v>0</v>
      </c>
      <c r="AX41" s="250">
        <f t="shared" ref="AX41:BC41" ca="1" si="148">AX35+AX40</f>
        <v>14392.535436558752</v>
      </c>
      <c r="AY41" s="250">
        <f t="shared" ca="1" si="148"/>
        <v>13833.102316555856</v>
      </c>
      <c r="AZ41" s="250">
        <f t="shared" ca="1" si="148"/>
        <v>13259.598020706779</v>
      </c>
      <c r="BA41" s="250">
        <f t="shared" ca="1" si="148"/>
        <v>12676.669515732021</v>
      </c>
      <c r="BB41" s="250">
        <f t="shared" ca="1" si="148"/>
        <v>12164.947833853705</v>
      </c>
      <c r="BC41" s="250">
        <f t="shared" ca="1" si="148"/>
        <v>11715.918167307553</v>
      </c>
      <c r="BD41" s="250">
        <f t="shared" ref="BD41:BE41" si="149">BD35+BD40</f>
        <v>0</v>
      </c>
      <c r="BE41" s="250">
        <f t="shared" si="149"/>
        <v>0</v>
      </c>
      <c r="BF41" s="250">
        <f t="shared" ref="BF41:CQ41" ca="1" si="150">BF35+BF40</f>
        <v>10520.548708389071</v>
      </c>
      <c r="BG41" s="250">
        <f t="shared" ca="1" si="150"/>
        <v>10149.948734589223</v>
      </c>
      <c r="BH41" s="250">
        <f t="shared" ca="1" si="150"/>
        <v>9768.5670052012792</v>
      </c>
      <c r="BI41" s="250">
        <f t="shared" ca="1" si="150"/>
        <v>9379.1977652990699</v>
      </c>
      <c r="BJ41" s="250">
        <f t="shared" ca="1" si="150"/>
        <v>9035.8076650601051</v>
      </c>
      <c r="BK41" s="250">
        <f t="shared" ca="1" si="150"/>
        <v>8733.163836408994</v>
      </c>
      <c r="BL41" s="250">
        <f t="shared" ref="BL41:BM41" si="151">BL35+BL40</f>
        <v>0</v>
      </c>
      <c r="BM41" s="250">
        <f t="shared" si="151"/>
        <v>0</v>
      </c>
      <c r="BN41" s="250">
        <f t="shared" ca="1" si="150"/>
        <v>9840.0455258319143</v>
      </c>
      <c r="BO41" s="250">
        <f t="shared" ca="1" si="150"/>
        <v>9504.1476281745799</v>
      </c>
      <c r="BP41" s="250">
        <f t="shared" ca="1" si="150"/>
        <v>9157.8395320422969</v>
      </c>
      <c r="BQ41" s="250">
        <f t="shared" ca="1" si="150"/>
        <v>8803.5920016274686</v>
      </c>
      <c r="BR41" s="250">
        <f t="shared" ca="1" si="150"/>
        <v>8490.5877326079681</v>
      </c>
      <c r="BS41" s="250">
        <f t="shared" ca="1" si="150"/>
        <v>8214.2589711158707</v>
      </c>
      <c r="BT41" s="250">
        <f t="shared" ref="BT41:BU41" si="152">BT35+BT40</f>
        <v>0</v>
      </c>
      <c r="BU41" s="250">
        <f t="shared" si="152"/>
        <v>0</v>
      </c>
      <c r="BV41" s="250">
        <f t="shared" ca="1" si="150"/>
        <v>2165.3605554035353</v>
      </c>
      <c r="BW41" s="250">
        <f t="shared" ca="1" si="150"/>
        <v>2200.0160223607563</v>
      </c>
      <c r="BX41" s="250">
        <f t="shared" ca="1" si="150"/>
        <v>2230.2897505753172</v>
      </c>
      <c r="BY41" s="250">
        <f t="shared" ca="1" si="150"/>
        <v>2255.4349165389594</v>
      </c>
      <c r="BZ41" s="250">
        <f t="shared" ca="1" si="150"/>
        <v>2272.6800369579387</v>
      </c>
      <c r="CA41" s="250">
        <f t="shared" ca="1" si="150"/>
        <v>2283.9753048293501</v>
      </c>
      <c r="CB41" s="250">
        <f t="shared" ref="CB41:CC41" si="153">CB35+CB40</f>
        <v>0</v>
      </c>
      <c r="CC41" s="250">
        <f t="shared" si="153"/>
        <v>0</v>
      </c>
      <c r="CD41" s="250">
        <f t="shared" ca="1" si="150"/>
        <v>2076.5661580414803</v>
      </c>
      <c r="CE41" s="250">
        <f t="shared" ca="1" si="150"/>
        <v>2113.6763478381895</v>
      </c>
      <c r="CF41" s="250">
        <f t="shared" ca="1" si="150"/>
        <v>2146.6417740506554</v>
      </c>
      <c r="CG41" s="250">
        <f t="shared" ca="1" si="150"/>
        <v>2174.6951549796627</v>
      </c>
      <c r="CH41" s="250">
        <f t="shared" ca="1" si="150"/>
        <v>2194.62925732432</v>
      </c>
      <c r="CI41" s="250">
        <f t="shared" ca="1" si="150"/>
        <v>2208.384056105122</v>
      </c>
      <c r="CJ41" s="250">
        <f t="shared" ref="CJ41:CK41" si="154">CJ35+CJ40</f>
        <v>0</v>
      </c>
      <c r="CK41" s="250">
        <f t="shared" si="154"/>
        <v>0</v>
      </c>
      <c r="CL41" s="250">
        <f t="shared" ca="1" si="150"/>
        <v>1114.7305390644387</v>
      </c>
      <c r="CM41" s="250">
        <f t="shared" ca="1" si="150"/>
        <v>1167.1922758219523</v>
      </c>
      <c r="CN41" s="250">
        <f t="shared" ca="1" si="150"/>
        <v>1218.7219039416423</v>
      </c>
      <c r="CO41" s="250">
        <f t="shared" ca="1" si="150"/>
        <v>1268.4691062538143</v>
      </c>
      <c r="CP41" s="250">
        <f t="shared" ca="1" si="150"/>
        <v>1309.7125867542895</v>
      </c>
      <c r="CQ41" s="250">
        <f t="shared" ca="1" si="150"/>
        <v>1343.8563802370022</v>
      </c>
      <c r="CR41" s="250">
        <f t="shared" ref="CR41:CS41" si="155">CR35+CR40</f>
        <v>0</v>
      </c>
      <c r="CS41" s="250">
        <f t="shared" si="155"/>
        <v>0</v>
      </c>
    </row>
    <row r="42" spans="1:97" hidden="1" outlineLevel="1">
      <c r="B42" s="251"/>
      <c r="C42" s="251"/>
      <c r="D42" s="251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  <c r="AA42" s="251"/>
      <c r="AB42" s="251"/>
      <c r="AC42" s="251"/>
      <c r="AD42" s="251"/>
      <c r="AE42" s="251"/>
      <c r="AF42" s="251"/>
      <c r="AG42" s="251"/>
      <c r="AH42" s="251"/>
      <c r="AI42" s="251"/>
      <c r="AJ42" s="251"/>
      <c r="AK42" s="251"/>
      <c r="AL42" s="251"/>
      <c r="AM42" s="251"/>
      <c r="AN42" s="251"/>
      <c r="AO42" s="251"/>
      <c r="AP42" s="251"/>
      <c r="AQ42" s="251"/>
      <c r="AR42" s="251"/>
      <c r="AS42" s="251"/>
      <c r="AT42" s="251"/>
      <c r="AU42" s="251"/>
      <c r="AV42" s="251"/>
      <c r="AW42" s="251"/>
      <c r="AX42" s="251"/>
      <c r="AY42" s="251"/>
      <c r="AZ42" s="251"/>
      <c r="BA42" s="251"/>
      <c r="BB42" s="251"/>
      <c r="BC42" s="251"/>
      <c r="BD42" s="251"/>
      <c r="BE42" s="251"/>
      <c r="BF42" s="251"/>
      <c r="BG42" s="251"/>
      <c r="BH42" s="251"/>
      <c r="BI42" s="251"/>
      <c r="BJ42" s="251"/>
      <c r="BK42" s="251"/>
      <c r="BL42" s="251"/>
      <c r="BM42" s="251"/>
      <c r="BN42" s="251"/>
      <c r="BO42" s="251"/>
      <c r="BP42" s="251"/>
      <c r="BQ42" s="251"/>
      <c r="BR42" s="251"/>
      <c r="BS42" s="251"/>
      <c r="BT42" s="251"/>
      <c r="BU42" s="251"/>
      <c r="BV42" s="251"/>
      <c r="BW42" s="251"/>
      <c r="BX42" s="251"/>
      <c r="BY42" s="251"/>
      <c r="BZ42" s="251"/>
      <c r="CA42" s="251"/>
      <c r="CB42" s="251"/>
      <c r="CC42" s="251"/>
      <c r="CD42" s="251"/>
      <c r="CE42" s="251"/>
      <c r="CF42" s="251"/>
      <c r="CG42" s="251"/>
      <c r="CH42" s="251"/>
      <c r="CI42" s="251"/>
      <c r="CJ42" s="251"/>
      <c r="CK42" s="251"/>
      <c r="CL42" s="251"/>
      <c r="CM42" s="251"/>
      <c r="CN42" s="251"/>
      <c r="CO42" s="251"/>
      <c r="CP42" s="251"/>
      <c r="CQ42" s="251"/>
      <c r="CR42" s="251"/>
      <c r="CS42" s="251"/>
    </row>
    <row r="43" spans="1:97" hidden="1" outlineLevel="1">
      <c r="A43" t="s">
        <v>48</v>
      </c>
      <c r="B43" s="245">
        <f>VLOOKUP(B$20,'Pricing Params'!$B:$G,MATCH($A43,'Pricing Params'!1:1,0)-1,FALSE)</f>
        <v>0.12028560548362528</v>
      </c>
      <c r="C43" s="245">
        <f>VLOOKUP(C$20,'Pricing Params'!$B:$G,MATCH($A43,'Pricing Params'!1:1,0)-1,FALSE)</f>
        <v>0.12028560548362528</v>
      </c>
      <c r="D43" s="245">
        <f>VLOOKUP(D$20,'Pricing Params'!$B:$G,MATCH($A43,'Pricing Params'!1:1,0)-1,FALSE)</f>
        <v>0.12028560548362528</v>
      </c>
      <c r="E43" s="245">
        <f>VLOOKUP(E$20,'Pricing Params'!$B:$G,MATCH($A43,'Pricing Params'!1:1,0)-1,FALSE)</f>
        <v>0.12028560548362528</v>
      </c>
      <c r="F43" s="245">
        <f>VLOOKUP(F$20,'Pricing Params'!$B:$G,MATCH($A43,'Pricing Params'!1:1,0)-1,FALSE)</f>
        <v>0.12028560548362528</v>
      </c>
      <c r="G43" s="245">
        <f>VLOOKUP(G$20,'Pricing Params'!$B:$G,MATCH($A43,'Pricing Params'!1:1,0)-1,FALSE)</f>
        <v>0.12028560548362528</v>
      </c>
      <c r="H43" s="245">
        <f>VLOOKUP(H$20,'Pricing Params'!$B:$G,MATCH($A43,'Pricing Params'!1:1,0)-1,FALSE)</f>
        <v>0.12028560548362528</v>
      </c>
      <c r="I43" s="245">
        <f>VLOOKUP(I$20,'Pricing Params'!$B:$G,MATCH($A43,'Pricing Params'!1:1,0)-1,FALSE)</f>
        <v>0.12028560548362528</v>
      </c>
      <c r="J43" s="245">
        <f>VLOOKUP(J$20,'Pricing Params'!$B:$G,MATCH($A43,'Pricing Params'!1:1,0)-1,FALSE)</f>
        <v>0.12028560548362528</v>
      </c>
      <c r="K43" s="245">
        <f>VLOOKUP(K$20,'Pricing Params'!$B:$G,MATCH($A43,'Pricing Params'!1:1,0)-1,FALSE)</f>
        <v>0.12028560548362528</v>
      </c>
      <c r="L43" s="245">
        <f>VLOOKUP(L$20,'Pricing Params'!$B:$G,MATCH($A43,'Pricing Params'!1:1,0)-1,FALSE)</f>
        <v>0.12028560548362528</v>
      </c>
      <c r="M43" s="245">
        <f>VLOOKUP(M$20,'Pricing Params'!$B:$G,MATCH($A43,'Pricing Params'!1:1,0)-1,FALSE)</f>
        <v>0.12028560548362528</v>
      </c>
      <c r="N43" s="245">
        <f>VLOOKUP(N$20,'Pricing Params'!$B:$G,MATCH($A43,'Pricing Params'!1:1,0)-1,FALSE)</f>
        <v>0.12028560548362528</v>
      </c>
      <c r="O43" s="245">
        <f>VLOOKUP(O$20,'Pricing Params'!$B:$G,MATCH($A43,'Pricing Params'!1:1,0)-1,FALSE)</f>
        <v>0.12028560548362528</v>
      </c>
      <c r="P43" s="245">
        <f>VLOOKUP(P$20,'Pricing Params'!$B:$G,MATCH($A43,'Pricing Params'!1:1,0)-1,FALSE)</f>
        <v>0.12028560548362528</v>
      </c>
      <c r="Q43" s="245">
        <f>VLOOKUP(Q$20,'Pricing Params'!$B:$G,MATCH($A43,'Pricing Params'!1:1,0)-1,FALSE)</f>
        <v>0.12028560548362528</v>
      </c>
      <c r="R43" s="245">
        <f>VLOOKUP(R$20,'Pricing Params'!$B:$G,MATCH($A43,'Pricing Params'!1:1,0)-1,FALSE)</f>
        <v>0.12028560548362528</v>
      </c>
      <c r="S43" s="245">
        <f>VLOOKUP(S$20,'Pricing Params'!$B:$G,MATCH($A43,'Pricing Params'!1:1,0)-1,FALSE)</f>
        <v>0.12028560548362528</v>
      </c>
      <c r="T43" s="245">
        <f>VLOOKUP(T$20,'Pricing Params'!$B:$G,MATCH($A43,'Pricing Params'!1:1,0)-1,FALSE)</f>
        <v>0.12028560548362528</v>
      </c>
      <c r="U43" s="245">
        <f>VLOOKUP(U$20,'Pricing Params'!$B:$G,MATCH($A43,'Pricing Params'!1:1,0)-1,FALSE)</f>
        <v>0.12028560548362528</v>
      </c>
      <c r="V43" s="245">
        <f>VLOOKUP(V$20,'Pricing Params'!$B:$G,MATCH($A43,'Pricing Params'!1:1,0)-1,FALSE)</f>
        <v>0.12028560548362528</v>
      </c>
      <c r="W43" s="245">
        <f>VLOOKUP(W$20,'Pricing Params'!$B:$G,MATCH($A43,'Pricing Params'!1:1,0)-1,FALSE)</f>
        <v>0.12028560548362528</v>
      </c>
      <c r="X43" s="245">
        <f>VLOOKUP(X$20,'Pricing Params'!$B:$G,MATCH($A43,'Pricing Params'!1:1,0)-1,FALSE)</f>
        <v>0.12028560548362528</v>
      </c>
      <c r="Y43" s="245">
        <f>VLOOKUP(Y$20,'Pricing Params'!$B:$G,MATCH($A43,'Pricing Params'!1:1,0)-1,FALSE)</f>
        <v>0.12028560548362528</v>
      </c>
      <c r="Z43" s="245">
        <f>VLOOKUP(Z$20,'Pricing Params'!$B:$G,MATCH($A43,'Pricing Params'!1:1,0)-1,FALSE)</f>
        <v>0.12028560548362528</v>
      </c>
      <c r="AA43" s="245">
        <f>VLOOKUP(AA$20,'Pricing Params'!$B:$G,MATCH($A43,'Pricing Params'!1:1,0)-1,FALSE)</f>
        <v>0.12028560548362528</v>
      </c>
      <c r="AB43" s="245">
        <f>VLOOKUP(AB$20,'Pricing Params'!$B:$G,MATCH($A43,'Pricing Params'!1:1,0)-1,FALSE)</f>
        <v>0.12028560548362528</v>
      </c>
      <c r="AC43" s="245">
        <f>VLOOKUP(AC$20,'Pricing Params'!$B:$G,MATCH($A43,'Pricing Params'!1:1,0)-1,FALSE)</f>
        <v>0.12028560548362528</v>
      </c>
      <c r="AD43" s="245">
        <f>VLOOKUP(AD$20,'Pricing Params'!$B:$G,MATCH($A43,'Pricing Params'!1:1,0)-1,FALSE)</f>
        <v>0.12028560548362528</v>
      </c>
      <c r="AE43" s="245">
        <f>VLOOKUP(AE$20,'Pricing Params'!$B:$G,MATCH($A43,'Pricing Params'!1:1,0)-1,FALSE)</f>
        <v>0.12028560548362528</v>
      </c>
      <c r="AF43" s="245">
        <f>VLOOKUP(AF$20,'Pricing Params'!$B:$G,MATCH($A43,'Pricing Params'!1:1,0)-1,FALSE)</f>
        <v>0.12028560548362528</v>
      </c>
      <c r="AG43" s="245">
        <f>VLOOKUP(AG$20,'Pricing Params'!$B:$G,MATCH($A43,'Pricing Params'!1:1,0)-1,FALSE)</f>
        <v>0.12028560548362528</v>
      </c>
      <c r="AH43" s="245">
        <f>VLOOKUP(AH$20,'Pricing Params'!$B:$G,MATCH($A43,'Pricing Params'!1:1,0)-1,FALSE)</f>
        <v>0.12028560548362528</v>
      </c>
      <c r="AI43" s="245">
        <f>VLOOKUP(AI$20,'Pricing Params'!$B:$G,MATCH($A43,'Pricing Params'!1:1,0)-1,FALSE)</f>
        <v>0.12028560548362528</v>
      </c>
      <c r="AJ43" s="245">
        <f>VLOOKUP(AJ$20,'Pricing Params'!$B:$G,MATCH($A43,'Pricing Params'!1:1,0)-1,FALSE)</f>
        <v>0.12028560548362528</v>
      </c>
      <c r="AK43" s="245">
        <f>VLOOKUP(AK$20,'Pricing Params'!$B:$G,MATCH($A43,'Pricing Params'!1:1,0)-1,FALSE)</f>
        <v>0.12028560548362528</v>
      </c>
      <c r="AL43" s="245">
        <f>VLOOKUP(AL$20,'Pricing Params'!$B:$G,MATCH($A43,'Pricing Params'!1:1,0)-1,FALSE)</f>
        <v>0.12028560548362528</v>
      </c>
      <c r="AM43" s="245">
        <f>VLOOKUP(AM$20,'Pricing Params'!$B:$G,MATCH($A43,'Pricing Params'!1:1,0)-1,FALSE)</f>
        <v>0.12028560548362528</v>
      </c>
      <c r="AN43" s="245">
        <f>VLOOKUP(AN$20,'Pricing Params'!$B:$G,MATCH($A43,'Pricing Params'!1:1,0)-1,FALSE)</f>
        <v>0.12028560548362528</v>
      </c>
      <c r="AO43" s="245">
        <f>VLOOKUP(AO$20,'Pricing Params'!$B:$G,MATCH($A43,'Pricing Params'!1:1,0)-1,FALSE)</f>
        <v>0.12028560548362528</v>
      </c>
      <c r="AP43" s="245">
        <f>VLOOKUP(AP$20,'Pricing Params'!$B:$G,MATCH($A43,'Pricing Params'!1:1,0)-1,FALSE)</f>
        <v>0.12028560548362528</v>
      </c>
      <c r="AQ43" s="245">
        <f>VLOOKUP(AQ$20,'Pricing Params'!$B:$G,MATCH($A43,'Pricing Params'!1:1,0)-1,FALSE)</f>
        <v>0.12028560548362528</v>
      </c>
      <c r="AR43" s="245">
        <f>VLOOKUP(AR$20,'Pricing Params'!$B:$G,MATCH($A43,'Pricing Params'!1:1,0)-1,FALSE)</f>
        <v>0.12028560548362528</v>
      </c>
      <c r="AS43" s="245">
        <f>VLOOKUP(AS$20,'Pricing Params'!$B:$G,MATCH($A43,'Pricing Params'!1:1,0)-1,FALSE)</f>
        <v>0.12028560548362528</v>
      </c>
      <c r="AT43" s="245">
        <f>VLOOKUP(AT$20,'Pricing Params'!$B:$G,MATCH($A43,'Pricing Params'!1:1,0)-1,FALSE)</f>
        <v>0.12028560548362528</v>
      </c>
      <c r="AU43" s="245">
        <f>VLOOKUP(AU$20,'Pricing Params'!$B:$G,MATCH($A43,'Pricing Params'!1:1,0)-1,FALSE)</f>
        <v>0.12028560548362528</v>
      </c>
      <c r="AV43" s="245">
        <f>VLOOKUP(AV$20,'Pricing Params'!$B:$G,MATCH($A43,'Pricing Params'!1:1,0)-1,FALSE)</f>
        <v>0.12028560548362528</v>
      </c>
      <c r="AW43" s="245">
        <f>VLOOKUP(AW$20,'Pricing Params'!$B:$G,MATCH($A43,'Pricing Params'!1:1,0)-1,FALSE)</f>
        <v>0.12028560548362528</v>
      </c>
      <c r="AX43" s="245">
        <f>VLOOKUP(AX$20,'Pricing Params'!$B:$G,MATCH($A43,'Pricing Params'!1:1,0)-1,FALSE)</f>
        <v>0.12028560548362528</v>
      </c>
      <c r="AY43" s="245">
        <f>VLOOKUP(AY$20,'Pricing Params'!$B:$G,MATCH($A43,'Pricing Params'!1:1,0)-1,FALSE)</f>
        <v>0.12028560548362528</v>
      </c>
      <c r="AZ43" s="245">
        <f>VLOOKUP(AZ$20,'Pricing Params'!$B:$G,MATCH($A43,'Pricing Params'!1:1,0)-1,FALSE)</f>
        <v>0.12028560548362528</v>
      </c>
      <c r="BA43" s="245">
        <f>VLOOKUP(BA$20,'Pricing Params'!$B:$G,MATCH($A43,'Pricing Params'!1:1,0)-1,FALSE)</f>
        <v>0.12028560548362528</v>
      </c>
      <c r="BB43" s="245">
        <f>VLOOKUP(BB$20,'Pricing Params'!$B:$G,MATCH($A43,'Pricing Params'!1:1,0)-1,FALSE)</f>
        <v>0.12028560548362528</v>
      </c>
      <c r="BC43" s="245">
        <f>VLOOKUP(BC$20,'Pricing Params'!$B:$G,MATCH($A43,'Pricing Params'!1:1,0)-1,FALSE)</f>
        <v>0.12028560548362528</v>
      </c>
      <c r="BD43" s="245">
        <f>VLOOKUP(BD$20,'Pricing Params'!$B:$G,MATCH($A43,'Pricing Params'!1:1,0)-1,FALSE)</f>
        <v>0.12028560548362528</v>
      </c>
      <c r="BE43" s="245">
        <f>VLOOKUP(BE$20,'Pricing Params'!$B:$G,MATCH($A43,'Pricing Params'!1:1,0)-1,FALSE)</f>
        <v>0.12028560548362528</v>
      </c>
      <c r="BF43" s="245">
        <f>VLOOKUP(BF$20,'Pricing Params'!$B:$G,MATCH($A43,'Pricing Params'!1:1,0)-1,FALSE)</f>
        <v>0.12028560548362528</v>
      </c>
      <c r="BG43" s="245">
        <f>VLOOKUP(BG$20,'Pricing Params'!$B:$G,MATCH($A43,'Pricing Params'!1:1,0)-1,FALSE)</f>
        <v>0.12028560548362528</v>
      </c>
      <c r="BH43" s="245">
        <f>VLOOKUP(BH$20,'Pricing Params'!$B:$G,MATCH($A43,'Pricing Params'!1:1,0)-1,FALSE)</f>
        <v>0.12028560548362528</v>
      </c>
      <c r="BI43" s="245">
        <f>VLOOKUP(BI$20,'Pricing Params'!$B:$G,MATCH($A43,'Pricing Params'!1:1,0)-1,FALSE)</f>
        <v>0.12028560548362528</v>
      </c>
      <c r="BJ43" s="245">
        <f>VLOOKUP(BJ$20,'Pricing Params'!$B:$G,MATCH($A43,'Pricing Params'!1:1,0)-1,FALSE)</f>
        <v>0.12028560548362528</v>
      </c>
      <c r="BK43" s="245">
        <f>VLOOKUP(BK$20,'Pricing Params'!$B:$G,MATCH($A43,'Pricing Params'!1:1,0)-1,FALSE)</f>
        <v>0.12028560548362528</v>
      </c>
      <c r="BL43" s="245">
        <f>VLOOKUP(BL$20,'Pricing Params'!$B:$G,MATCH($A43,'Pricing Params'!1:1,0)-1,FALSE)</f>
        <v>0.12028560548362528</v>
      </c>
      <c r="BM43" s="245">
        <f>VLOOKUP(BM$20,'Pricing Params'!$B:$G,MATCH($A43,'Pricing Params'!1:1,0)-1,FALSE)</f>
        <v>0.12028560548362528</v>
      </c>
      <c r="BN43" s="245">
        <f>VLOOKUP(BN$20,'Pricing Params'!$B:$G,MATCH($A43,'Pricing Params'!1:1,0)-1,FALSE)</f>
        <v>0.12028560548362528</v>
      </c>
      <c r="BO43" s="245">
        <f>VLOOKUP(BO$20,'Pricing Params'!$B:$G,MATCH($A43,'Pricing Params'!1:1,0)-1,FALSE)</f>
        <v>0.12028560548362528</v>
      </c>
      <c r="BP43" s="245">
        <f>VLOOKUP(BP$20,'Pricing Params'!$B:$G,MATCH($A43,'Pricing Params'!1:1,0)-1,FALSE)</f>
        <v>0.12028560548362528</v>
      </c>
      <c r="BQ43" s="245">
        <f>VLOOKUP(BQ$20,'Pricing Params'!$B:$G,MATCH($A43,'Pricing Params'!1:1,0)-1,FALSE)</f>
        <v>0.12028560548362528</v>
      </c>
      <c r="BR43" s="245">
        <f>VLOOKUP(BR$20,'Pricing Params'!$B:$G,MATCH($A43,'Pricing Params'!1:1,0)-1,FALSE)</f>
        <v>0.12028560548362528</v>
      </c>
      <c r="BS43" s="245">
        <f>VLOOKUP(BS$20,'Pricing Params'!$B:$G,MATCH($A43,'Pricing Params'!1:1,0)-1,FALSE)</f>
        <v>0.12028560548362528</v>
      </c>
      <c r="BT43" s="245">
        <f>VLOOKUP(BT$20,'Pricing Params'!$B:$G,MATCH($A43,'Pricing Params'!1:1,0)-1,FALSE)</f>
        <v>0.12028560548362528</v>
      </c>
      <c r="BU43" s="245">
        <f>VLOOKUP(BU$20,'Pricing Params'!$B:$G,MATCH($A43,'Pricing Params'!1:1,0)-1,FALSE)</f>
        <v>0.12028560548362528</v>
      </c>
      <c r="BV43" s="245">
        <f>VLOOKUP(BV$20,'Pricing Params'!$B:$G,MATCH($A43,'Pricing Params'!1:1,0)-1,FALSE)</f>
        <v>0.12028560548362528</v>
      </c>
      <c r="BW43" s="245">
        <f>VLOOKUP(BW$20,'Pricing Params'!$B:$G,MATCH($A43,'Pricing Params'!1:1,0)-1,FALSE)</f>
        <v>0.12028560548362528</v>
      </c>
      <c r="BX43" s="245">
        <f>VLOOKUP(BX$20,'Pricing Params'!$B:$G,MATCH($A43,'Pricing Params'!1:1,0)-1,FALSE)</f>
        <v>0.12028560548362528</v>
      </c>
      <c r="BY43" s="245">
        <f>VLOOKUP(BY$20,'Pricing Params'!$B:$G,MATCH($A43,'Pricing Params'!1:1,0)-1,FALSE)</f>
        <v>0.12028560548362528</v>
      </c>
      <c r="BZ43" s="245">
        <f>VLOOKUP(BZ$20,'Pricing Params'!$B:$G,MATCH($A43,'Pricing Params'!1:1,0)-1,FALSE)</f>
        <v>0.12028560548362528</v>
      </c>
      <c r="CA43" s="245">
        <f>VLOOKUP(CA$20,'Pricing Params'!$B:$G,MATCH($A43,'Pricing Params'!1:1,0)-1,FALSE)</f>
        <v>0.12028560548362528</v>
      </c>
      <c r="CB43" s="245">
        <f>VLOOKUP(CB$20,'Pricing Params'!$B:$G,MATCH($A43,'Pricing Params'!1:1,0)-1,FALSE)</f>
        <v>0.12028560548362528</v>
      </c>
      <c r="CC43" s="245">
        <f>VLOOKUP(CC$20,'Pricing Params'!$B:$G,MATCH($A43,'Pricing Params'!1:1,0)-1,FALSE)</f>
        <v>0.12028560548362528</v>
      </c>
      <c r="CD43" s="245">
        <f>VLOOKUP(CD$20,'Pricing Params'!$B:$G,MATCH($A43,'Pricing Params'!1:1,0)-1,FALSE)</f>
        <v>0.12028560548362528</v>
      </c>
      <c r="CE43" s="245">
        <f>VLOOKUP(CE$20,'Pricing Params'!$B:$G,MATCH($A43,'Pricing Params'!1:1,0)-1,FALSE)</f>
        <v>0.12028560548362528</v>
      </c>
      <c r="CF43" s="245">
        <f>VLOOKUP(CF$20,'Pricing Params'!$B:$G,MATCH($A43,'Pricing Params'!1:1,0)-1,FALSE)</f>
        <v>0.12028560548362528</v>
      </c>
      <c r="CG43" s="245">
        <f>VLOOKUP(CG$20,'Pricing Params'!$B:$G,MATCH($A43,'Pricing Params'!1:1,0)-1,FALSE)</f>
        <v>0.12028560548362528</v>
      </c>
      <c r="CH43" s="245">
        <f>VLOOKUP(CH$20,'Pricing Params'!$B:$G,MATCH($A43,'Pricing Params'!1:1,0)-1,FALSE)</f>
        <v>0.12028560548362528</v>
      </c>
      <c r="CI43" s="245">
        <f>VLOOKUP(CI$20,'Pricing Params'!$B:$G,MATCH($A43,'Pricing Params'!1:1,0)-1,FALSE)</f>
        <v>0.12028560548362528</v>
      </c>
      <c r="CJ43" s="245">
        <f>VLOOKUP(CJ$20,'Pricing Params'!$B:$G,MATCH($A43,'Pricing Params'!1:1,0)-1,FALSE)</f>
        <v>0.12028560548362528</v>
      </c>
      <c r="CK43" s="245">
        <f>VLOOKUP(CK$20,'Pricing Params'!$B:$G,MATCH($A43,'Pricing Params'!1:1,0)-1,FALSE)</f>
        <v>0.12028560548362528</v>
      </c>
      <c r="CL43" s="245">
        <f>VLOOKUP(CL$20,'Pricing Params'!$B:$G,MATCH($A43,'Pricing Params'!1:1,0)-1,FALSE)</f>
        <v>0.12028560548362528</v>
      </c>
      <c r="CM43" s="245">
        <f>VLOOKUP(CM$20,'Pricing Params'!$B:$G,MATCH($A43,'Pricing Params'!1:1,0)-1,FALSE)</f>
        <v>0.12028560548362528</v>
      </c>
      <c r="CN43" s="245">
        <f>VLOOKUP(CN$20,'Pricing Params'!$B:$G,MATCH($A43,'Pricing Params'!1:1,0)-1,FALSE)</f>
        <v>0.12028560548362528</v>
      </c>
      <c r="CO43" s="245">
        <f>VLOOKUP(CO$20,'Pricing Params'!$B:$G,MATCH($A43,'Pricing Params'!1:1,0)-1,FALSE)</f>
        <v>0.12028560548362528</v>
      </c>
      <c r="CP43" s="245">
        <f>VLOOKUP(CP$20,'Pricing Params'!$B:$G,MATCH($A43,'Pricing Params'!1:1,0)-1,FALSE)</f>
        <v>0.12028560548362528</v>
      </c>
      <c r="CQ43" s="245">
        <f>VLOOKUP(CQ$20,'Pricing Params'!$B:$G,MATCH($A43,'Pricing Params'!1:1,0)-1,FALSE)</f>
        <v>0.12028560548362528</v>
      </c>
      <c r="CR43" s="245">
        <f>VLOOKUP(CR$20,'Pricing Params'!$B:$G,MATCH($A43,'Pricing Params'!1:1,0)-1,FALSE)</f>
        <v>0.12028560548362528</v>
      </c>
      <c r="CS43" s="245">
        <f>VLOOKUP(CS$20,'Pricing Params'!$B:$G,MATCH($A43,'Pricing Params'!1:1,0)-1,FALSE)</f>
        <v>0.12028560548362528</v>
      </c>
    </row>
    <row r="44" spans="1:97" hidden="1" outlineLevel="1">
      <c r="A44" t="s">
        <v>40</v>
      </c>
      <c r="B44" s="245">
        <f>VLOOKUP(B$20,'Pricing Params'!$B:$G,MATCH($A44,'Pricing Params'!$1:$1,0)-1,FALSE)</f>
        <v>0.03</v>
      </c>
      <c r="C44" s="245">
        <f>VLOOKUP(C$20,'Pricing Params'!$B:$G,MATCH($A44,'Pricing Params'!$1:$1,0)-1,FALSE)</f>
        <v>0.03</v>
      </c>
      <c r="D44" s="245">
        <f>VLOOKUP(D$20,'Pricing Params'!$B:$G,MATCH($A44,'Pricing Params'!$1:$1,0)-1,FALSE)</f>
        <v>0.03</v>
      </c>
      <c r="E44" s="245">
        <f>VLOOKUP(E$20,'Pricing Params'!$B:$G,MATCH($A44,'Pricing Params'!$1:$1,0)-1,FALSE)</f>
        <v>0.03</v>
      </c>
      <c r="F44" s="245">
        <f>VLOOKUP(F$20,'Pricing Params'!$B:$G,MATCH($A44,'Pricing Params'!$1:$1,0)-1,FALSE)</f>
        <v>0.03</v>
      </c>
      <c r="G44" s="245">
        <f>VLOOKUP(G$20,'Pricing Params'!$B:$G,MATCH($A44,'Pricing Params'!$1:$1,0)-1,FALSE)</f>
        <v>0.03</v>
      </c>
      <c r="H44" s="245">
        <f>VLOOKUP(H$20,'Pricing Params'!$B:$G,MATCH($A44,'Pricing Params'!$1:$1,0)-1,FALSE)</f>
        <v>0.03</v>
      </c>
      <c r="I44" s="245">
        <f>VLOOKUP(I$20,'Pricing Params'!$B:$G,MATCH($A44,'Pricing Params'!$1:$1,0)-1,FALSE)</f>
        <v>0.03</v>
      </c>
      <c r="J44" s="245">
        <f>VLOOKUP(J$20,'Pricing Params'!$B:$G,MATCH($A44,'Pricing Params'!$1:$1,0)-1,FALSE)</f>
        <v>0.03</v>
      </c>
      <c r="K44" s="245">
        <f>VLOOKUP(K$20,'Pricing Params'!$B:$G,MATCH($A44,'Pricing Params'!$1:$1,0)-1,FALSE)</f>
        <v>0.03</v>
      </c>
      <c r="L44" s="245">
        <f>VLOOKUP(L$20,'Pricing Params'!$B:$G,MATCH($A44,'Pricing Params'!$1:$1,0)-1,FALSE)</f>
        <v>0.03</v>
      </c>
      <c r="M44" s="245">
        <f>VLOOKUP(M$20,'Pricing Params'!$B:$G,MATCH($A44,'Pricing Params'!$1:$1,0)-1,FALSE)</f>
        <v>0.03</v>
      </c>
      <c r="N44" s="245">
        <f>VLOOKUP(N$20,'Pricing Params'!$B:$G,MATCH($A44,'Pricing Params'!$1:$1,0)-1,FALSE)</f>
        <v>0.03</v>
      </c>
      <c r="O44" s="245">
        <f>VLOOKUP(O$20,'Pricing Params'!$B:$G,MATCH($A44,'Pricing Params'!$1:$1,0)-1,FALSE)</f>
        <v>0.03</v>
      </c>
      <c r="P44" s="245">
        <f>VLOOKUP(P$20,'Pricing Params'!$B:$G,MATCH($A44,'Pricing Params'!$1:$1,0)-1,FALSE)</f>
        <v>0.03</v>
      </c>
      <c r="Q44" s="245">
        <f>VLOOKUP(Q$20,'Pricing Params'!$B:$G,MATCH($A44,'Pricing Params'!$1:$1,0)-1,FALSE)</f>
        <v>0.03</v>
      </c>
      <c r="R44" s="245">
        <f>VLOOKUP(R$20,'Pricing Params'!$B:$G,MATCH($A44,'Pricing Params'!$1:$1,0)-1,FALSE)</f>
        <v>0.03</v>
      </c>
      <c r="S44" s="245">
        <f>VLOOKUP(S$20,'Pricing Params'!$B:$G,MATCH($A44,'Pricing Params'!$1:$1,0)-1,FALSE)</f>
        <v>0.03</v>
      </c>
      <c r="T44" s="245">
        <f>VLOOKUP(T$20,'Pricing Params'!$B:$G,MATCH($A44,'Pricing Params'!$1:$1,0)-1,FALSE)</f>
        <v>0.03</v>
      </c>
      <c r="U44" s="245">
        <f>VLOOKUP(U$20,'Pricing Params'!$B:$G,MATCH($A44,'Pricing Params'!$1:$1,0)-1,FALSE)</f>
        <v>0.03</v>
      </c>
      <c r="V44" s="245">
        <f>VLOOKUP(V$20,'Pricing Params'!$B:$G,MATCH($A44,'Pricing Params'!$1:$1,0)-1,FALSE)</f>
        <v>0.03</v>
      </c>
      <c r="W44" s="245">
        <f>VLOOKUP(W$20,'Pricing Params'!$B:$G,MATCH($A44,'Pricing Params'!$1:$1,0)-1,FALSE)</f>
        <v>0.03</v>
      </c>
      <c r="X44" s="245">
        <f>VLOOKUP(X$20,'Pricing Params'!$B:$G,MATCH($A44,'Pricing Params'!$1:$1,0)-1,FALSE)</f>
        <v>0.03</v>
      </c>
      <c r="Y44" s="245">
        <f>VLOOKUP(Y$20,'Pricing Params'!$B:$G,MATCH($A44,'Pricing Params'!$1:$1,0)-1,FALSE)</f>
        <v>0.03</v>
      </c>
      <c r="Z44" s="245">
        <f>VLOOKUP(Z$20,'Pricing Params'!$B:$G,MATCH($A44,'Pricing Params'!$1:$1,0)-1,FALSE)</f>
        <v>0.03</v>
      </c>
      <c r="AA44" s="245">
        <f>VLOOKUP(AA$20,'Pricing Params'!$B:$G,MATCH($A44,'Pricing Params'!$1:$1,0)-1,FALSE)</f>
        <v>0.03</v>
      </c>
      <c r="AB44" s="245">
        <f>VLOOKUP(AB$20,'Pricing Params'!$B:$G,MATCH($A44,'Pricing Params'!$1:$1,0)-1,FALSE)</f>
        <v>0.03</v>
      </c>
      <c r="AC44" s="245">
        <f>VLOOKUP(AC$20,'Pricing Params'!$B:$G,MATCH($A44,'Pricing Params'!$1:$1,0)-1,FALSE)</f>
        <v>0.03</v>
      </c>
      <c r="AD44" s="245">
        <f>VLOOKUP(AD$20,'Pricing Params'!$B:$G,MATCH($A44,'Pricing Params'!$1:$1,0)-1,FALSE)</f>
        <v>0.03</v>
      </c>
      <c r="AE44" s="245">
        <f>VLOOKUP(AE$20,'Pricing Params'!$B:$G,MATCH($A44,'Pricing Params'!$1:$1,0)-1,FALSE)</f>
        <v>0.03</v>
      </c>
      <c r="AF44" s="245">
        <f>VLOOKUP(AF$20,'Pricing Params'!$B:$G,MATCH($A44,'Pricing Params'!$1:$1,0)-1,FALSE)</f>
        <v>0.03</v>
      </c>
      <c r="AG44" s="245">
        <f>VLOOKUP(AG$20,'Pricing Params'!$B:$G,MATCH($A44,'Pricing Params'!$1:$1,0)-1,FALSE)</f>
        <v>0.03</v>
      </c>
      <c r="AH44" s="245">
        <f>VLOOKUP(AH$20,'Pricing Params'!$B:$G,MATCH($A44,'Pricing Params'!$1:$1,0)-1,FALSE)</f>
        <v>0.03</v>
      </c>
      <c r="AI44" s="245">
        <f>VLOOKUP(AI$20,'Pricing Params'!$B:$G,MATCH($A44,'Pricing Params'!$1:$1,0)-1,FALSE)</f>
        <v>0.03</v>
      </c>
      <c r="AJ44" s="245">
        <f>VLOOKUP(AJ$20,'Pricing Params'!$B:$G,MATCH($A44,'Pricing Params'!$1:$1,0)-1,FALSE)</f>
        <v>0.03</v>
      </c>
      <c r="AK44" s="245">
        <f>VLOOKUP(AK$20,'Pricing Params'!$B:$G,MATCH($A44,'Pricing Params'!$1:$1,0)-1,FALSE)</f>
        <v>0.03</v>
      </c>
      <c r="AL44" s="245">
        <f>VLOOKUP(AL$20,'Pricing Params'!$B:$G,MATCH($A44,'Pricing Params'!$1:$1,0)-1,FALSE)</f>
        <v>0.03</v>
      </c>
      <c r="AM44" s="245">
        <f>VLOOKUP(AM$20,'Pricing Params'!$B:$G,MATCH($A44,'Pricing Params'!$1:$1,0)-1,FALSE)</f>
        <v>0.03</v>
      </c>
      <c r="AN44" s="245">
        <f>VLOOKUP(AN$20,'Pricing Params'!$B:$G,MATCH($A44,'Pricing Params'!$1:$1,0)-1,FALSE)</f>
        <v>0.03</v>
      </c>
      <c r="AO44" s="245">
        <f>VLOOKUP(AO$20,'Pricing Params'!$B:$G,MATCH($A44,'Pricing Params'!$1:$1,0)-1,FALSE)</f>
        <v>0.03</v>
      </c>
      <c r="AP44" s="245">
        <f>VLOOKUP(AP$20,'Pricing Params'!$B:$G,MATCH($A44,'Pricing Params'!$1:$1,0)-1,FALSE)</f>
        <v>0.03</v>
      </c>
      <c r="AQ44" s="245">
        <f>VLOOKUP(AQ$20,'Pricing Params'!$B:$G,MATCH($A44,'Pricing Params'!$1:$1,0)-1,FALSE)</f>
        <v>0.03</v>
      </c>
      <c r="AR44" s="245">
        <f>VLOOKUP(AR$20,'Pricing Params'!$B:$G,MATCH($A44,'Pricing Params'!$1:$1,0)-1,FALSE)</f>
        <v>0.03</v>
      </c>
      <c r="AS44" s="245">
        <f>VLOOKUP(AS$20,'Pricing Params'!$B:$G,MATCH($A44,'Pricing Params'!$1:$1,0)-1,FALSE)</f>
        <v>0.03</v>
      </c>
      <c r="AT44" s="245">
        <f>VLOOKUP(AT$20,'Pricing Params'!$B:$G,MATCH($A44,'Pricing Params'!$1:$1,0)-1,FALSE)</f>
        <v>0.03</v>
      </c>
      <c r="AU44" s="245">
        <f>VLOOKUP(AU$20,'Pricing Params'!$B:$G,MATCH($A44,'Pricing Params'!$1:$1,0)-1,FALSE)</f>
        <v>0.03</v>
      </c>
      <c r="AV44" s="245">
        <f>VLOOKUP(AV$20,'Pricing Params'!$B:$G,MATCH($A44,'Pricing Params'!$1:$1,0)-1,FALSE)</f>
        <v>0.03</v>
      </c>
      <c r="AW44" s="245">
        <f>VLOOKUP(AW$20,'Pricing Params'!$B:$G,MATCH($A44,'Pricing Params'!$1:$1,0)-1,FALSE)</f>
        <v>0.03</v>
      </c>
      <c r="AX44" s="245">
        <f>VLOOKUP(AX$20,'Pricing Params'!$B:$G,MATCH($A44,'Pricing Params'!$1:$1,0)-1,FALSE)</f>
        <v>0.03</v>
      </c>
      <c r="AY44" s="245">
        <f>VLOOKUP(AY$20,'Pricing Params'!$B:$G,MATCH($A44,'Pricing Params'!$1:$1,0)-1,FALSE)</f>
        <v>0.03</v>
      </c>
      <c r="AZ44" s="245">
        <f>VLOOKUP(AZ$20,'Pricing Params'!$B:$G,MATCH($A44,'Pricing Params'!$1:$1,0)-1,FALSE)</f>
        <v>0.03</v>
      </c>
      <c r="BA44" s="245">
        <f>VLOOKUP(BA$20,'Pricing Params'!$B:$G,MATCH($A44,'Pricing Params'!$1:$1,0)-1,FALSE)</f>
        <v>0.03</v>
      </c>
      <c r="BB44" s="245">
        <f>VLOOKUP(BB$20,'Pricing Params'!$B:$G,MATCH($A44,'Pricing Params'!$1:$1,0)-1,FALSE)</f>
        <v>0.03</v>
      </c>
      <c r="BC44" s="245">
        <f>VLOOKUP(BC$20,'Pricing Params'!$B:$G,MATCH($A44,'Pricing Params'!$1:$1,0)-1,FALSE)</f>
        <v>0.03</v>
      </c>
      <c r="BD44" s="245">
        <f>VLOOKUP(BD$20,'Pricing Params'!$B:$G,MATCH($A44,'Pricing Params'!$1:$1,0)-1,FALSE)</f>
        <v>0.03</v>
      </c>
      <c r="BE44" s="245">
        <f>VLOOKUP(BE$20,'Pricing Params'!$B:$G,MATCH($A44,'Pricing Params'!$1:$1,0)-1,FALSE)</f>
        <v>0.03</v>
      </c>
      <c r="BF44" s="245">
        <f>VLOOKUP(BF$20,'Pricing Params'!$B:$G,MATCH($A44,'Pricing Params'!$1:$1,0)-1,FALSE)</f>
        <v>0.03</v>
      </c>
      <c r="BG44" s="245">
        <f>VLOOKUP(BG$20,'Pricing Params'!$B:$G,MATCH($A44,'Pricing Params'!$1:$1,0)-1,FALSE)</f>
        <v>0.03</v>
      </c>
      <c r="BH44" s="245">
        <f>VLOOKUP(BH$20,'Pricing Params'!$B:$G,MATCH($A44,'Pricing Params'!$1:$1,0)-1,FALSE)</f>
        <v>0.03</v>
      </c>
      <c r="BI44" s="245">
        <f>VLOOKUP(BI$20,'Pricing Params'!$B:$G,MATCH($A44,'Pricing Params'!$1:$1,0)-1,FALSE)</f>
        <v>0.03</v>
      </c>
      <c r="BJ44" s="245">
        <f>VLOOKUP(BJ$20,'Pricing Params'!$B:$G,MATCH($A44,'Pricing Params'!$1:$1,0)-1,FALSE)</f>
        <v>0.03</v>
      </c>
      <c r="BK44" s="245">
        <f>VLOOKUP(BK$20,'Pricing Params'!$B:$G,MATCH($A44,'Pricing Params'!$1:$1,0)-1,FALSE)</f>
        <v>0.03</v>
      </c>
      <c r="BL44" s="245">
        <f>VLOOKUP(BL$20,'Pricing Params'!$B:$G,MATCH($A44,'Pricing Params'!$1:$1,0)-1,FALSE)</f>
        <v>0.03</v>
      </c>
      <c r="BM44" s="245">
        <f>VLOOKUP(BM$20,'Pricing Params'!$B:$G,MATCH($A44,'Pricing Params'!$1:$1,0)-1,FALSE)</f>
        <v>0.03</v>
      </c>
      <c r="BN44" s="245">
        <f>VLOOKUP(BN$20,'Pricing Params'!$B:$G,MATCH($A44,'Pricing Params'!$1:$1,0)-1,FALSE)</f>
        <v>0.03</v>
      </c>
      <c r="BO44" s="245">
        <f>VLOOKUP(BO$20,'Pricing Params'!$B:$G,MATCH($A44,'Pricing Params'!$1:$1,0)-1,FALSE)</f>
        <v>0.03</v>
      </c>
      <c r="BP44" s="245">
        <f>VLOOKUP(BP$20,'Pricing Params'!$B:$G,MATCH($A44,'Pricing Params'!$1:$1,0)-1,FALSE)</f>
        <v>0.03</v>
      </c>
      <c r="BQ44" s="245">
        <f>VLOOKUP(BQ$20,'Pricing Params'!$B:$G,MATCH($A44,'Pricing Params'!$1:$1,0)-1,FALSE)</f>
        <v>0.03</v>
      </c>
      <c r="BR44" s="245">
        <f>VLOOKUP(BR$20,'Pricing Params'!$B:$G,MATCH($A44,'Pricing Params'!$1:$1,0)-1,FALSE)</f>
        <v>0.03</v>
      </c>
      <c r="BS44" s="245">
        <f>VLOOKUP(BS$20,'Pricing Params'!$B:$G,MATCH($A44,'Pricing Params'!$1:$1,0)-1,FALSE)</f>
        <v>0.03</v>
      </c>
      <c r="BT44" s="245">
        <f>VLOOKUP(BT$20,'Pricing Params'!$B:$G,MATCH($A44,'Pricing Params'!$1:$1,0)-1,FALSE)</f>
        <v>0.03</v>
      </c>
      <c r="BU44" s="245">
        <f>VLOOKUP(BU$20,'Pricing Params'!$B:$G,MATCH($A44,'Pricing Params'!$1:$1,0)-1,FALSE)</f>
        <v>0.03</v>
      </c>
      <c r="BV44" s="245">
        <f>VLOOKUP(BV$20,'Pricing Params'!$B:$G,MATCH($A44,'Pricing Params'!$1:$1,0)-1,FALSE)</f>
        <v>0.03</v>
      </c>
      <c r="BW44" s="245">
        <f>VLOOKUP(BW$20,'Pricing Params'!$B:$G,MATCH($A44,'Pricing Params'!$1:$1,0)-1,FALSE)</f>
        <v>0.03</v>
      </c>
      <c r="BX44" s="245">
        <f>VLOOKUP(BX$20,'Pricing Params'!$B:$G,MATCH($A44,'Pricing Params'!$1:$1,0)-1,FALSE)</f>
        <v>0.03</v>
      </c>
      <c r="BY44" s="245">
        <f>VLOOKUP(BY$20,'Pricing Params'!$B:$G,MATCH($A44,'Pricing Params'!$1:$1,0)-1,FALSE)</f>
        <v>0.03</v>
      </c>
      <c r="BZ44" s="245">
        <f>VLOOKUP(BZ$20,'Pricing Params'!$B:$G,MATCH($A44,'Pricing Params'!$1:$1,0)-1,FALSE)</f>
        <v>0.03</v>
      </c>
      <c r="CA44" s="245">
        <f>VLOOKUP(CA$20,'Pricing Params'!$B:$G,MATCH($A44,'Pricing Params'!$1:$1,0)-1,FALSE)</f>
        <v>0.03</v>
      </c>
      <c r="CB44" s="245">
        <f>VLOOKUP(CB$20,'Pricing Params'!$B:$G,MATCH($A44,'Pricing Params'!$1:$1,0)-1,FALSE)</f>
        <v>0.03</v>
      </c>
      <c r="CC44" s="245">
        <f>VLOOKUP(CC$20,'Pricing Params'!$B:$G,MATCH($A44,'Pricing Params'!$1:$1,0)-1,FALSE)</f>
        <v>0.03</v>
      </c>
      <c r="CD44" s="245">
        <f>VLOOKUP(CD$20,'Pricing Params'!$B:$G,MATCH($A44,'Pricing Params'!$1:$1,0)-1,FALSE)</f>
        <v>0.03</v>
      </c>
      <c r="CE44" s="245">
        <f>VLOOKUP(CE$20,'Pricing Params'!$B:$G,MATCH($A44,'Pricing Params'!$1:$1,0)-1,FALSE)</f>
        <v>0.03</v>
      </c>
      <c r="CF44" s="245">
        <f>VLOOKUP(CF$20,'Pricing Params'!$B:$G,MATCH($A44,'Pricing Params'!$1:$1,0)-1,FALSE)</f>
        <v>0.03</v>
      </c>
      <c r="CG44" s="245">
        <f>VLOOKUP(CG$20,'Pricing Params'!$B:$G,MATCH($A44,'Pricing Params'!$1:$1,0)-1,FALSE)</f>
        <v>0.03</v>
      </c>
      <c r="CH44" s="245">
        <f>VLOOKUP(CH$20,'Pricing Params'!$B:$G,MATCH($A44,'Pricing Params'!$1:$1,0)-1,FALSE)</f>
        <v>0.03</v>
      </c>
      <c r="CI44" s="245">
        <f>VLOOKUP(CI$20,'Pricing Params'!$B:$G,MATCH($A44,'Pricing Params'!$1:$1,0)-1,FALSE)</f>
        <v>0.03</v>
      </c>
      <c r="CJ44" s="245">
        <f>VLOOKUP(CJ$20,'Pricing Params'!$B:$G,MATCH($A44,'Pricing Params'!$1:$1,0)-1,FALSE)</f>
        <v>0.03</v>
      </c>
      <c r="CK44" s="245">
        <f>VLOOKUP(CK$20,'Pricing Params'!$B:$G,MATCH($A44,'Pricing Params'!$1:$1,0)-1,FALSE)</f>
        <v>0.03</v>
      </c>
      <c r="CL44" s="245">
        <f>VLOOKUP(CL$20,'Pricing Params'!$B:$G,MATCH($A44,'Pricing Params'!$1:$1,0)-1,FALSE)</f>
        <v>0.03</v>
      </c>
      <c r="CM44" s="245">
        <f>VLOOKUP(CM$20,'Pricing Params'!$B:$G,MATCH($A44,'Pricing Params'!$1:$1,0)-1,FALSE)</f>
        <v>0.03</v>
      </c>
      <c r="CN44" s="245">
        <f>VLOOKUP(CN$20,'Pricing Params'!$B:$G,MATCH($A44,'Pricing Params'!$1:$1,0)-1,FALSE)</f>
        <v>0.03</v>
      </c>
      <c r="CO44" s="245">
        <f>VLOOKUP(CO$20,'Pricing Params'!$B:$G,MATCH($A44,'Pricing Params'!$1:$1,0)-1,FALSE)</f>
        <v>0.03</v>
      </c>
      <c r="CP44" s="245">
        <f>VLOOKUP(CP$20,'Pricing Params'!$B:$G,MATCH($A44,'Pricing Params'!$1:$1,0)-1,FALSE)</f>
        <v>0.03</v>
      </c>
      <c r="CQ44" s="245">
        <f>VLOOKUP(CQ$20,'Pricing Params'!$B:$G,MATCH($A44,'Pricing Params'!$1:$1,0)-1,FALSE)</f>
        <v>0.03</v>
      </c>
      <c r="CR44" s="245">
        <f>VLOOKUP(CR$20,'Pricing Params'!$B:$G,MATCH($A44,'Pricing Params'!$1:$1,0)-1,FALSE)</f>
        <v>0.03</v>
      </c>
      <c r="CS44" s="245">
        <f>VLOOKUP(CS$20,'Pricing Params'!$B:$G,MATCH($A44,'Pricing Params'!$1:$1,0)-1,FALSE)</f>
        <v>0.03</v>
      </c>
    </row>
    <row r="45" spans="1:97" hidden="1" outlineLevel="1">
      <c r="A45" t="s">
        <v>38</v>
      </c>
      <c r="B45" s="249">
        <f t="shared" ref="B45:G45" si="156">B43*B27*B44*(B20-B26)/365</f>
        <v>968.8315840294631</v>
      </c>
      <c r="C45" s="249">
        <f t="shared" si="156"/>
        <v>1032.6104657367316</v>
      </c>
      <c r="D45" s="249">
        <f t="shared" si="156"/>
        <v>1101.7042542529396</v>
      </c>
      <c r="E45" s="249">
        <f t="shared" si="156"/>
        <v>1176.1129495780865</v>
      </c>
      <c r="F45" s="249">
        <f t="shared" si="156"/>
        <v>1245.2067380942942</v>
      </c>
      <c r="G45" s="249">
        <f t="shared" si="156"/>
        <v>1308.985619801563</v>
      </c>
      <c r="H45" s="249">
        <f t="shared" ref="H45:I45" si="157">H43*H27*H44*(H20-H26)/365</f>
        <v>1308.985619801563</v>
      </c>
      <c r="I45" s="249">
        <f t="shared" si="157"/>
        <v>1308.985619801563</v>
      </c>
      <c r="J45" s="249">
        <f t="shared" ref="J45:AJ45" si="158">J43*J27*J44*(J20-J26)/365</f>
        <v>968.8315840294631</v>
      </c>
      <c r="K45" s="249">
        <f t="shared" si="158"/>
        <v>1032.6104657367316</v>
      </c>
      <c r="L45" s="249">
        <f t="shared" si="158"/>
        <v>1101.7042542529396</v>
      </c>
      <c r="M45" s="249">
        <f t="shared" ref="M45:N45" si="159">M43*M27*M44*(M20-M26)/365</f>
        <v>1176.1129495780865</v>
      </c>
      <c r="N45" s="249">
        <f t="shared" si="159"/>
        <v>1245.2067380942942</v>
      </c>
      <c r="O45" s="249">
        <f t="shared" ref="O45:P45" si="160">O43*O27*O44*(O20-O26)/365</f>
        <v>1308.985619801563</v>
      </c>
      <c r="P45" s="249">
        <f t="shared" si="160"/>
        <v>1308.985619801563</v>
      </c>
      <c r="Q45" s="249">
        <f t="shared" ref="Q45" si="161">Q43*Q27*Q44*(Q20-Q26)/365</f>
        <v>1308.985619801563</v>
      </c>
      <c r="R45" s="249">
        <f t="shared" si="158"/>
        <v>968.8315840294631</v>
      </c>
      <c r="S45" s="249">
        <f t="shared" si="158"/>
        <v>1032.6104657367316</v>
      </c>
      <c r="T45" s="249">
        <f t="shared" si="158"/>
        <v>1101.7042542529396</v>
      </c>
      <c r="U45" s="249">
        <f t="shared" ref="U45:V45" si="162">U43*U27*U44*(U20-U26)/365</f>
        <v>1176.1129495780865</v>
      </c>
      <c r="V45" s="249">
        <f t="shared" si="162"/>
        <v>1245.2067380942942</v>
      </c>
      <c r="W45" s="249">
        <f t="shared" ref="W45:X45" si="163">W43*W27*W44*(W20-W26)/365</f>
        <v>1308.985619801563</v>
      </c>
      <c r="X45" s="249">
        <f t="shared" si="163"/>
        <v>1308.985619801563</v>
      </c>
      <c r="Y45" s="249">
        <f t="shared" ref="Y45" si="164">Y43*Y27*Y44*(Y20-Y26)/365</f>
        <v>1308.985619801563</v>
      </c>
      <c r="Z45" s="249">
        <f t="shared" si="158"/>
        <v>968.8315840294631</v>
      </c>
      <c r="AA45" s="249">
        <f t="shared" si="158"/>
        <v>1032.6104657367316</v>
      </c>
      <c r="AB45" s="249">
        <f t="shared" si="158"/>
        <v>1101.7042542529396</v>
      </c>
      <c r="AC45" s="249">
        <f t="shared" ref="AC45:AD45" si="165">AC43*AC27*AC44*(AC20-AC26)/365</f>
        <v>1176.1129495780865</v>
      </c>
      <c r="AD45" s="249">
        <f t="shared" si="165"/>
        <v>1245.2067380942942</v>
      </c>
      <c r="AE45" s="249">
        <f t="shared" ref="AE45:AF45" si="166">AE43*AE27*AE44*(AE20-AE26)/365</f>
        <v>1308.985619801563</v>
      </c>
      <c r="AF45" s="249">
        <f t="shared" si="166"/>
        <v>1308.985619801563</v>
      </c>
      <c r="AG45" s="249">
        <f t="shared" ref="AG45" si="167">AG43*AG27*AG44*(AG20-AG26)/365</f>
        <v>1308.985619801563</v>
      </c>
      <c r="AH45" s="249">
        <f t="shared" si="158"/>
        <v>968.8315840294631</v>
      </c>
      <c r="AI45" s="249">
        <f t="shared" si="158"/>
        <v>1032.6104657367316</v>
      </c>
      <c r="AJ45" s="249">
        <f t="shared" si="158"/>
        <v>1101.7042542529396</v>
      </c>
      <c r="AK45" s="249">
        <f t="shared" ref="AK45:AL45" si="168">AK43*AK27*AK44*(AK20-AK26)/365</f>
        <v>1176.1129495780865</v>
      </c>
      <c r="AL45" s="249">
        <f t="shared" si="168"/>
        <v>1245.2067380942942</v>
      </c>
      <c r="AM45" s="249">
        <f t="shared" ref="AM45:AN45" si="169">AM43*AM27*AM44*(AM20-AM26)/365</f>
        <v>1308.985619801563</v>
      </c>
      <c r="AN45" s="249">
        <f t="shared" si="169"/>
        <v>1308.985619801563</v>
      </c>
      <c r="AO45" s="249">
        <f t="shared" ref="AO45" si="170">AO43*AO27*AO44*(AO20-AO26)/365</f>
        <v>1308.985619801563</v>
      </c>
      <c r="AP45" s="249">
        <f t="shared" ref="AP45:AR45" si="171">AP43*AP27*AP44*(AP20-AP26)/365</f>
        <v>968.8315840294631</v>
      </c>
      <c r="AQ45" s="249">
        <f t="shared" si="171"/>
        <v>1032.6104657367316</v>
      </c>
      <c r="AR45" s="249">
        <f t="shared" si="171"/>
        <v>1101.7042542529396</v>
      </c>
      <c r="AS45" s="249">
        <f t="shared" ref="AS45:AT45" si="172">AS43*AS27*AS44*(AS20-AS26)/365</f>
        <v>1176.1129495780865</v>
      </c>
      <c r="AT45" s="249">
        <f t="shared" si="172"/>
        <v>1245.2067380942942</v>
      </c>
      <c r="AU45" s="249">
        <f t="shared" ref="AU45:AV45" si="173">AU43*AU27*AU44*(AU20-AU26)/365</f>
        <v>1308.985619801563</v>
      </c>
      <c r="AV45" s="249">
        <f t="shared" si="173"/>
        <v>1308.985619801563</v>
      </c>
      <c r="AW45" s="249">
        <f t="shared" ref="AW45" si="174">AW43*AW27*AW44*(AW20-AW26)/365</f>
        <v>1308.985619801563</v>
      </c>
      <c r="AX45" s="249">
        <f t="shared" ref="AX45:BC45" si="175">AX43*AX27*AX44*(AX20-AX26)/365</f>
        <v>968.8315840294631</v>
      </c>
      <c r="AY45" s="249">
        <f t="shared" si="175"/>
        <v>1032.6104657367316</v>
      </c>
      <c r="AZ45" s="249">
        <f t="shared" si="175"/>
        <v>1101.7042542529396</v>
      </c>
      <c r="BA45" s="249">
        <f t="shared" si="175"/>
        <v>1176.1129495780865</v>
      </c>
      <c r="BB45" s="249">
        <f t="shared" si="175"/>
        <v>1245.2067380942942</v>
      </c>
      <c r="BC45" s="249">
        <f t="shared" si="175"/>
        <v>1308.985619801563</v>
      </c>
      <c r="BD45" s="249">
        <f t="shared" ref="BD45:BE45" si="176">BD43*BD27*BD44*(BD20-BD26)/365</f>
        <v>1308.985619801563</v>
      </c>
      <c r="BE45" s="249">
        <f t="shared" si="176"/>
        <v>1308.985619801563</v>
      </c>
      <c r="BF45" s="249">
        <f t="shared" ref="BF45:CQ45" si="177">BF43*BF27*BF44*(BF20-BF26)/365</f>
        <v>968.8315840294631</v>
      </c>
      <c r="BG45" s="249">
        <f t="shared" si="177"/>
        <v>1032.6104657367316</v>
      </c>
      <c r="BH45" s="249">
        <f t="shared" si="177"/>
        <v>1101.7042542529396</v>
      </c>
      <c r="BI45" s="249">
        <f t="shared" si="177"/>
        <v>1176.1129495780865</v>
      </c>
      <c r="BJ45" s="249">
        <f t="shared" si="177"/>
        <v>1245.2067380942942</v>
      </c>
      <c r="BK45" s="249">
        <f t="shared" si="177"/>
        <v>1308.985619801563</v>
      </c>
      <c r="BL45" s="249">
        <f t="shared" ref="BL45:BM45" si="178">BL43*BL27*BL44*(BL20-BL26)/365</f>
        <v>1308.985619801563</v>
      </c>
      <c r="BM45" s="249">
        <f t="shared" si="178"/>
        <v>1308.985619801563</v>
      </c>
      <c r="BN45" s="249">
        <f t="shared" si="177"/>
        <v>968.8315840294631</v>
      </c>
      <c r="BO45" s="249">
        <f t="shared" si="177"/>
        <v>1032.6104657367316</v>
      </c>
      <c r="BP45" s="249">
        <f t="shared" si="177"/>
        <v>1101.7042542529396</v>
      </c>
      <c r="BQ45" s="249">
        <f t="shared" si="177"/>
        <v>1176.1129495780865</v>
      </c>
      <c r="BR45" s="249">
        <f t="shared" si="177"/>
        <v>1245.2067380942942</v>
      </c>
      <c r="BS45" s="249">
        <f t="shared" si="177"/>
        <v>1308.985619801563</v>
      </c>
      <c r="BT45" s="249">
        <f t="shared" ref="BT45:BU45" si="179">BT43*BT27*BT44*(BT20-BT26)/365</f>
        <v>1308.985619801563</v>
      </c>
      <c r="BU45" s="249">
        <f t="shared" si="179"/>
        <v>1308.985619801563</v>
      </c>
      <c r="BV45" s="249">
        <f t="shared" si="177"/>
        <v>968.8315840294631</v>
      </c>
      <c r="BW45" s="249">
        <f t="shared" si="177"/>
        <v>1032.6104657367316</v>
      </c>
      <c r="BX45" s="249">
        <f t="shared" si="177"/>
        <v>1101.7042542529396</v>
      </c>
      <c r="BY45" s="249">
        <f t="shared" si="177"/>
        <v>1176.1129495780865</v>
      </c>
      <c r="BZ45" s="249">
        <f t="shared" si="177"/>
        <v>1245.2067380942942</v>
      </c>
      <c r="CA45" s="249">
        <f t="shared" si="177"/>
        <v>1308.985619801563</v>
      </c>
      <c r="CB45" s="249">
        <f t="shared" ref="CB45:CC45" si="180">CB43*CB27*CB44*(CB20-CB26)/365</f>
        <v>1308.985619801563</v>
      </c>
      <c r="CC45" s="249">
        <f t="shared" si="180"/>
        <v>1308.985619801563</v>
      </c>
      <c r="CD45" s="249">
        <f t="shared" si="177"/>
        <v>968.8315840294631</v>
      </c>
      <c r="CE45" s="249">
        <f t="shared" si="177"/>
        <v>1032.6104657367316</v>
      </c>
      <c r="CF45" s="249">
        <f t="shared" si="177"/>
        <v>1101.7042542529396</v>
      </c>
      <c r="CG45" s="249">
        <f t="shared" si="177"/>
        <v>1176.1129495780865</v>
      </c>
      <c r="CH45" s="249">
        <f t="shared" si="177"/>
        <v>1245.2067380942942</v>
      </c>
      <c r="CI45" s="249">
        <f t="shared" si="177"/>
        <v>1308.985619801563</v>
      </c>
      <c r="CJ45" s="249">
        <f t="shared" ref="CJ45:CK45" si="181">CJ43*CJ27*CJ44*(CJ20-CJ26)/365</f>
        <v>1308.985619801563</v>
      </c>
      <c r="CK45" s="249">
        <f t="shared" si="181"/>
        <v>1308.985619801563</v>
      </c>
      <c r="CL45" s="249">
        <f t="shared" si="177"/>
        <v>968.8315840294631</v>
      </c>
      <c r="CM45" s="249">
        <f t="shared" si="177"/>
        <v>1032.6104657367316</v>
      </c>
      <c r="CN45" s="249">
        <f t="shared" si="177"/>
        <v>1101.7042542529396</v>
      </c>
      <c r="CO45" s="249">
        <f t="shared" si="177"/>
        <v>1176.1129495780865</v>
      </c>
      <c r="CP45" s="249">
        <f t="shared" si="177"/>
        <v>1245.2067380942942</v>
      </c>
      <c r="CQ45" s="249">
        <f t="shared" si="177"/>
        <v>1308.985619801563</v>
      </c>
      <c r="CR45" s="249">
        <f t="shared" ref="CR45:CS45" si="182">CR43*CR27*CR44*(CR20-CR26)/365</f>
        <v>1308.985619801563</v>
      </c>
      <c r="CS45" s="249">
        <f t="shared" si="182"/>
        <v>1308.985619801563</v>
      </c>
    </row>
    <row r="46" spans="1:97" hidden="1" outlineLevel="1">
      <c r="A46" t="s">
        <v>46</v>
      </c>
      <c r="B46" s="250">
        <f t="shared" ref="B46:G46" ca="1" si="183">B35+B45</f>
        <v>15361.367020588215</v>
      </c>
      <c r="C46" s="250">
        <f t="shared" ca="1" si="183"/>
        <v>14865.712782292589</v>
      </c>
      <c r="D46" s="250">
        <f t="shared" ca="1" si="183"/>
        <v>14361.302274959718</v>
      </c>
      <c r="E46" s="250">
        <f t="shared" ca="1" si="183"/>
        <v>13852.782465310107</v>
      </c>
      <c r="F46" s="250">
        <f t="shared" ca="1" si="183"/>
        <v>13410.154571947998</v>
      </c>
      <c r="G46" s="250">
        <f t="shared" ca="1" si="183"/>
        <v>13024.903787109115</v>
      </c>
      <c r="H46" s="250">
        <f t="shared" ref="H46:I46" si="184">H35+H45</f>
        <v>1308.985619801563</v>
      </c>
      <c r="I46" s="250">
        <f t="shared" si="184"/>
        <v>1308.985619801563</v>
      </c>
      <c r="J46" s="250">
        <f t="shared" ref="J46:AJ46" ca="1" si="185">J35+J45</f>
        <v>11489.380292418535</v>
      </c>
      <c r="K46" s="250">
        <f t="shared" ca="1" si="185"/>
        <v>11182.559200325955</v>
      </c>
      <c r="L46" s="250">
        <f t="shared" ca="1" si="185"/>
        <v>10870.271259454219</v>
      </c>
      <c r="M46" s="250">
        <f t="shared" ref="M46:N46" ca="1" si="186">M35+M45</f>
        <v>10555.310714877156</v>
      </c>
      <c r="N46" s="250">
        <f t="shared" ca="1" si="186"/>
        <v>10281.014403154399</v>
      </c>
      <c r="O46" s="250">
        <f t="shared" ref="O46:P46" ca="1" si="187">O35+O45</f>
        <v>10042.149456210556</v>
      </c>
      <c r="P46" s="250">
        <f t="shared" si="187"/>
        <v>1308.985619801563</v>
      </c>
      <c r="Q46" s="250">
        <f t="shared" ref="Q46" si="188">Q35+Q45</f>
        <v>1308.985619801563</v>
      </c>
      <c r="R46" s="250">
        <f t="shared" ca="1" si="185"/>
        <v>10808.877109861378</v>
      </c>
      <c r="S46" s="250">
        <f t="shared" ca="1" si="185"/>
        <v>10536.758093911312</v>
      </c>
      <c r="T46" s="250">
        <f t="shared" ca="1" si="185"/>
        <v>10259.543786295237</v>
      </c>
      <c r="U46" s="250">
        <f t="shared" ref="U46:V46" ca="1" si="189">U35+U45</f>
        <v>9979.7049512055546</v>
      </c>
      <c r="V46" s="250">
        <f t="shared" ca="1" si="189"/>
        <v>9735.7944707022616</v>
      </c>
      <c r="W46" s="250">
        <f t="shared" ref="W46:X46" ca="1" si="190">W35+W45</f>
        <v>9523.244590917433</v>
      </c>
      <c r="X46" s="250">
        <f t="shared" si="190"/>
        <v>1308.985619801563</v>
      </c>
      <c r="Y46" s="250">
        <f t="shared" ref="Y46" si="191">Y35+Y45</f>
        <v>1308.985619801563</v>
      </c>
      <c r="Z46" s="250">
        <f t="shared" ca="1" si="185"/>
        <v>3134.1921394329984</v>
      </c>
      <c r="AA46" s="250">
        <f t="shared" ca="1" si="185"/>
        <v>3232.6264880974877</v>
      </c>
      <c r="AB46" s="250">
        <f t="shared" ca="1" si="185"/>
        <v>3331.9940048282569</v>
      </c>
      <c r="AC46" s="250">
        <f t="shared" ref="AC46:AD46" ca="1" si="192">AC35+AC45</f>
        <v>3431.5478661170459</v>
      </c>
      <c r="AD46" s="250">
        <f t="shared" ca="1" si="192"/>
        <v>3517.8867750522331</v>
      </c>
      <c r="AE46" s="250">
        <f t="shared" ref="AE46:AF46" ca="1" si="193">AE35+AE45</f>
        <v>3592.9609246309128</v>
      </c>
      <c r="AF46" s="250">
        <f t="shared" si="193"/>
        <v>1308.985619801563</v>
      </c>
      <c r="AG46" s="250">
        <f t="shared" ref="AG46" si="194">AG35+AG45</f>
        <v>1308.985619801563</v>
      </c>
      <c r="AH46" s="250">
        <f t="shared" ca="1" si="185"/>
        <v>3045.3977420709434</v>
      </c>
      <c r="AI46" s="250">
        <f t="shared" ca="1" si="185"/>
        <v>3146.2868135749213</v>
      </c>
      <c r="AJ46" s="250">
        <f t="shared" ca="1" si="185"/>
        <v>3248.3460283035947</v>
      </c>
      <c r="AK46" s="250">
        <f t="shared" ref="AK46:AL46" ca="1" si="195">AK35+AK45</f>
        <v>3350.8081045577492</v>
      </c>
      <c r="AL46" s="250">
        <f t="shared" ca="1" si="195"/>
        <v>3439.8359954186144</v>
      </c>
      <c r="AM46" s="250">
        <f t="shared" ref="AM46:AN46" ca="1" si="196">AM35+AM45</f>
        <v>3517.3696759066852</v>
      </c>
      <c r="AN46" s="250">
        <f t="shared" si="196"/>
        <v>1308.985619801563</v>
      </c>
      <c r="AO46" s="250">
        <f t="shared" ref="AO46" si="197">AO35+AO45</f>
        <v>1308.985619801563</v>
      </c>
      <c r="AP46" s="250">
        <f t="shared" ref="AP46:AR46" ca="1" si="198">AP35+AP45</f>
        <v>2083.5621230939018</v>
      </c>
      <c r="AQ46" s="250">
        <f t="shared" ca="1" si="198"/>
        <v>2199.8027415586839</v>
      </c>
      <c r="AR46" s="250">
        <f t="shared" ca="1" si="198"/>
        <v>2320.4261581945821</v>
      </c>
      <c r="AS46" s="250">
        <f t="shared" ref="AS46:AT46" ca="1" si="199">AS35+AS45</f>
        <v>2444.582055831901</v>
      </c>
      <c r="AT46" s="250">
        <f t="shared" ca="1" si="199"/>
        <v>2554.9193248485835</v>
      </c>
      <c r="AU46" s="250">
        <f t="shared" ref="AU46:AV46" ca="1" si="200">AU35+AU45</f>
        <v>2652.8420000385649</v>
      </c>
      <c r="AV46" s="250">
        <f t="shared" si="200"/>
        <v>1308.985619801563</v>
      </c>
      <c r="AW46" s="250">
        <f t="shared" ref="AW46" si="201">AW35+AW45</f>
        <v>1308.985619801563</v>
      </c>
      <c r="AX46" s="250">
        <f t="shared" ref="AX46:BC46" ca="1" si="202">AX35+AX45</f>
        <v>15361.367020588215</v>
      </c>
      <c r="AY46" s="250">
        <f t="shared" ca="1" si="202"/>
        <v>14865.712782292589</v>
      </c>
      <c r="AZ46" s="250">
        <f t="shared" ca="1" si="202"/>
        <v>14361.302274959718</v>
      </c>
      <c r="BA46" s="250">
        <f t="shared" ca="1" si="202"/>
        <v>13852.782465310107</v>
      </c>
      <c r="BB46" s="250">
        <f t="shared" ca="1" si="202"/>
        <v>13410.154571947998</v>
      </c>
      <c r="BC46" s="250">
        <f t="shared" ca="1" si="202"/>
        <v>13024.903787109115</v>
      </c>
      <c r="BD46" s="250">
        <f t="shared" ref="BD46:BE46" si="203">BD35+BD45</f>
        <v>1308.985619801563</v>
      </c>
      <c r="BE46" s="250">
        <f t="shared" si="203"/>
        <v>1308.985619801563</v>
      </c>
      <c r="BF46" s="250">
        <f t="shared" ref="BF46:CQ46" ca="1" si="204">BF35+BF45</f>
        <v>11489.380292418535</v>
      </c>
      <c r="BG46" s="250">
        <f t="shared" ca="1" si="204"/>
        <v>11182.559200325955</v>
      </c>
      <c r="BH46" s="250">
        <f t="shared" ca="1" si="204"/>
        <v>10870.271259454219</v>
      </c>
      <c r="BI46" s="250">
        <f t="shared" ca="1" si="204"/>
        <v>10555.310714877156</v>
      </c>
      <c r="BJ46" s="250">
        <f t="shared" ca="1" si="204"/>
        <v>10281.014403154399</v>
      </c>
      <c r="BK46" s="250">
        <f t="shared" ca="1" si="204"/>
        <v>10042.149456210556</v>
      </c>
      <c r="BL46" s="250">
        <f t="shared" ref="BL46:BM46" si="205">BL35+BL45</f>
        <v>1308.985619801563</v>
      </c>
      <c r="BM46" s="250">
        <f t="shared" si="205"/>
        <v>1308.985619801563</v>
      </c>
      <c r="BN46" s="250">
        <f t="shared" ca="1" si="204"/>
        <v>10808.877109861378</v>
      </c>
      <c r="BO46" s="250">
        <f t="shared" ca="1" si="204"/>
        <v>10536.758093911312</v>
      </c>
      <c r="BP46" s="250">
        <f t="shared" ca="1" si="204"/>
        <v>10259.543786295237</v>
      </c>
      <c r="BQ46" s="250">
        <f t="shared" ca="1" si="204"/>
        <v>9979.7049512055546</v>
      </c>
      <c r="BR46" s="250">
        <f t="shared" ca="1" si="204"/>
        <v>9735.7944707022616</v>
      </c>
      <c r="BS46" s="250">
        <f t="shared" ca="1" si="204"/>
        <v>9523.244590917433</v>
      </c>
      <c r="BT46" s="250">
        <f t="shared" ref="BT46:BU46" si="206">BT35+BT45</f>
        <v>1308.985619801563</v>
      </c>
      <c r="BU46" s="250">
        <f t="shared" si="206"/>
        <v>1308.985619801563</v>
      </c>
      <c r="BV46" s="250">
        <f t="shared" ca="1" si="204"/>
        <v>3134.1921394329984</v>
      </c>
      <c r="BW46" s="250">
        <f t="shared" ca="1" si="204"/>
        <v>3232.6264880974877</v>
      </c>
      <c r="BX46" s="250">
        <f t="shared" ca="1" si="204"/>
        <v>3331.9940048282569</v>
      </c>
      <c r="BY46" s="250">
        <f t="shared" ca="1" si="204"/>
        <v>3431.5478661170459</v>
      </c>
      <c r="BZ46" s="250">
        <f t="shared" ca="1" si="204"/>
        <v>3517.8867750522331</v>
      </c>
      <c r="CA46" s="250">
        <f t="shared" ca="1" si="204"/>
        <v>3592.9609246309128</v>
      </c>
      <c r="CB46" s="250">
        <f t="shared" ref="CB46:CC46" si="207">CB35+CB45</f>
        <v>1308.985619801563</v>
      </c>
      <c r="CC46" s="250">
        <f t="shared" si="207"/>
        <v>1308.985619801563</v>
      </c>
      <c r="CD46" s="250">
        <f t="shared" ca="1" si="204"/>
        <v>3045.3977420709434</v>
      </c>
      <c r="CE46" s="250">
        <f t="shared" ca="1" si="204"/>
        <v>3146.2868135749213</v>
      </c>
      <c r="CF46" s="250">
        <f t="shared" ca="1" si="204"/>
        <v>3248.3460283035947</v>
      </c>
      <c r="CG46" s="250">
        <f t="shared" ca="1" si="204"/>
        <v>3350.8081045577492</v>
      </c>
      <c r="CH46" s="250">
        <f t="shared" ca="1" si="204"/>
        <v>3439.8359954186144</v>
      </c>
      <c r="CI46" s="250">
        <f t="shared" ca="1" si="204"/>
        <v>3517.3696759066852</v>
      </c>
      <c r="CJ46" s="250">
        <f t="shared" ref="CJ46:CK46" si="208">CJ35+CJ45</f>
        <v>1308.985619801563</v>
      </c>
      <c r="CK46" s="250">
        <f t="shared" si="208"/>
        <v>1308.985619801563</v>
      </c>
      <c r="CL46" s="250">
        <f t="shared" ca="1" si="204"/>
        <v>2083.5621230939018</v>
      </c>
      <c r="CM46" s="250">
        <f t="shared" ca="1" si="204"/>
        <v>2199.8027415586839</v>
      </c>
      <c r="CN46" s="250">
        <f t="shared" ca="1" si="204"/>
        <v>2320.4261581945821</v>
      </c>
      <c r="CO46" s="250">
        <f t="shared" ca="1" si="204"/>
        <v>2444.582055831901</v>
      </c>
      <c r="CP46" s="250">
        <f t="shared" ca="1" si="204"/>
        <v>2554.9193248485835</v>
      </c>
      <c r="CQ46" s="250">
        <f t="shared" ca="1" si="204"/>
        <v>2652.8420000385649</v>
      </c>
      <c r="CR46" s="250">
        <f t="shared" ref="CR46:CS46" si="209">CR35+CR45</f>
        <v>1308.985619801563</v>
      </c>
      <c r="CS46" s="250">
        <f t="shared" si="209"/>
        <v>1308.985619801563</v>
      </c>
    </row>
    <row r="47" spans="1:97" collapsed="1">
      <c r="A47" t="s">
        <v>51</v>
      </c>
      <c r="B47" s="255">
        <f>(IF(B25&lt;&gt;"",-$C$14*$B$5/(B19-J19),0))</f>
        <v>-10.049999999999999</v>
      </c>
      <c r="C47" s="255">
        <f>(IF(C25&lt;&gt;"",-$C$14*$B$5/(C19-K19),0))</f>
        <v>-10.049999999999999</v>
      </c>
      <c r="D47" s="255">
        <f>(IF(D25&lt;&gt;"",-$C$14*$B$5/(D19-L19),0))</f>
        <v>-10.049999999999999</v>
      </c>
      <c r="E47" s="255">
        <f>(IF(E25&lt;&gt;"",-$C$14*$B$5/(E19-M19),0))</f>
        <v>-10.049999999999999</v>
      </c>
      <c r="F47" s="255">
        <f>(IF(F25&lt;&gt;"",-$C$14*$B$5/(F19-N19),0))</f>
        <v>-10.049999999999999</v>
      </c>
      <c r="G47" s="255">
        <f>(IF(G25&lt;&gt;"",-$C$14*$B$5/(G19-P19),0))</f>
        <v>-10.049999999999999</v>
      </c>
      <c r="H47" s="255">
        <f>(IF(H25&lt;&gt;"",-$C$14*$B$5/(H19-Q19),0))</f>
        <v>0</v>
      </c>
      <c r="I47" s="255">
        <f>(IF(I25&lt;&gt;"",-$C$14*$B$5/(I19-Q19),0))</f>
        <v>0</v>
      </c>
      <c r="J47" s="255">
        <f t="shared" ref="J47:Q47" si="210">IF(J25&lt;&gt;"",$C$14*$B$5/(B19-J19)-$C$13*$B$5/(J19-R19),0)</f>
        <v>9.0499999999999972</v>
      </c>
      <c r="K47" s="255">
        <f t="shared" si="210"/>
        <v>9.0499999999999972</v>
      </c>
      <c r="L47" s="255">
        <f t="shared" si="210"/>
        <v>9.0499999999999972</v>
      </c>
      <c r="M47" s="255">
        <f t="shared" si="210"/>
        <v>9.0499999999999972</v>
      </c>
      <c r="N47" s="255">
        <f t="shared" si="210"/>
        <v>9.0499999999999972</v>
      </c>
      <c r="O47" s="255">
        <f t="shared" si="210"/>
        <v>9.0499999999999972</v>
      </c>
      <c r="P47" s="255">
        <f t="shared" si="210"/>
        <v>0</v>
      </c>
      <c r="Q47" s="255">
        <f t="shared" si="210"/>
        <v>0</v>
      </c>
      <c r="R47" s="255">
        <f t="shared" ref="R47:Y47" si="211">IF(R25&lt;&gt;"",$C$13*$B$5/(J19-R19),0)</f>
        <v>1.0000000000000009</v>
      </c>
      <c r="S47" s="255">
        <f t="shared" si="211"/>
        <v>1.0000000000000009</v>
      </c>
      <c r="T47" s="255">
        <f t="shared" si="211"/>
        <v>1.0000000000000009</v>
      </c>
      <c r="U47" s="255">
        <f t="shared" si="211"/>
        <v>1.0000000000000009</v>
      </c>
      <c r="V47" s="255">
        <f t="shared" si="211"/>
        <v>1.0000000000000009</v>
      </c>
      <c r="W47" s="255">
        <f t="shared" si="211"/>
        <v>1.0000000000000009</v>
      </c>
      <c r="X47" s="255">
        <f t="shared" si="211"/>
        <v>0</v>
      </c>
      <c r="Y47" s="255">
        <f t="shared" si="211"/>
        <v>0</v>
      </c>
      <c r="Z47" s="255">
        <f t="shared" ref="Z47:AG47" si="212">IF(Z25&lt;&gt;"",-$E$14*$B$5/(Z19-AH19)-$E$12,0)</f>
        <v>-25.6</v>
      </c>
      <c r="AA47" s="255">
        <f t="shared" si="212"/>
        <v>-25.6</v>
      </c>
      <c r="AB47" s="255">
        <f t="shared" si="212"/>
        <v>-25.6</v>
      </c>
      <c r="AC47" s="255">
        <f t="shared" si="212"/>
        <v>-25.6</v>
      </c>
      <c r="AD47" s="255">
        <f t="shared" si="212"/>
        <v>-25.6</v>
      </c>
      <c r="AE47" s="255">
        <f t="shared" si="212"/>
        <v>-25.6</v>
      </c>
      <c r="AF47" s="255">
        <f t="shared" si="212"/>
        <v>0</v>
      </c>
      <c r="AG47" s="255">
        <f t="shared" si="212"/>
        <v>0</v>
      </c>
      <c r="AH47" s="255">
        <f t="shared" ref="AH47:AO47" si="213">IF(AH25&lt;&gt;"",$E$14*$B$5/(Z19-AH19),0)</f>
        <v>24</v>
      </c>
      <c r="AI47" s="255">
        <f t="shared" si="213"/>
        <v>24</v>
      </c>
      <c r="AJ47" s="255">
        <f t="shared" si="213"/>
        <v>24</v>
      </c>
      <c r="AK47" s="255">
        <f t="shared" si="213"/>
        <v>24</v>
      </c>
      <c r="AL47" s="255">
        <f t="shared" si="213"/>
        <v>24</v>
      </c>
      <c r="AM47" s="255">
        <f t="shared" si="213"/>
        <v>24</v>
      </c>
      <c r="AN47" s="255">
        <f t="shared" si="213"/>
        <v>0</v>
      </c>
      <c r="AO47" s="255">
        <f t="shared" si="213"/>
        <v>0</v>
      </c>
      <c r="AP47" s="255">
        <v>1</v>
      </c>
      <c r="AQ47" s="255">
        <v>1</v>
      </c>
      <c r="AR47" s="255">
        <v>1</v>
      </c>
      <c r="AS47" s="255">
        <v>1</v>
      </c>
      <c r="AT47" s="255">
        <v>1</v>
      </c>
      <c r="AU47" s="255">
        <v>1</v>
      </c>
      <c r="AV47" s="255"/>
      <c r="AW47" s="255">
        <v>0</v>
      </c>
      <c r="AX47" s="255">
        <f>(IF(AX25&lt;&gt;"",-$C$14*$B$5/(AX19-BF19),0))</f>
        <v>-10.049999999999999</v>
      </c>
      <c r="AY47" s="255">
        <f>(IF(AY25&lt;&gt;"",-$C$14*$B$5/(AY19-BG19),0))</f>
        <v>-10.049999999999999</v>
      </c>
      <c r="AZ47" s="255">
        <f>(IF(AZ25&lt;&gt;"",-$C$14*$B$5/(AZ19-BH19),0))</f>
        <v>-10.049999999999999</v>
      </c>
      <c r="BA47" s="255">
        <f>(IF(BA25&lt;&gt;"",-$C$14*$B$5/(BA19-BI19),0))</f>
        <v>-10.049999999999999</v>
      </c>
      <c r="BB47" s="255">
        <f>(IF(BB25&lt;&gt;"",-$C$14*$B$5/(BB19-BJ19),0))</f>
        <v>-10.049999999999999</v>
      </c>
      <c r="BC47" s="255">
        <f>(IF(BC25&lt;&gt;"",-$C$14*$B$5/(BC19-BL19),0))</f>
        <v>-10.049999999999999</v>
      </c>
      <c r="BD47" s="255">
        <f>(IF(BD25&lt;&gt;"",-$C$14*$B$5/(BD19-BM19),0))</f>
        <v>0</v>
      </c>
      <c r="BE47" s="255">
        <f>(IF(BE25&lt;&gt;"",-$C$14*$B$5/(BE19-BQ19),0))</f>
        <v>0</v>
      </c>
      <c r="BF47" s="255">
        <f t="shared" ref="BF47:BM47" si="214">IF(BF25&lt;&gt;"",$C$14*$B$5/(AX19-BF19)-$C$13*$B$5/(BF19-BN19),0)</f>
        <v>9.0499999999999972</v>
      </c>
      <c r="BG47" s="255">
        <f t="shared" si="214"/>
        <v>9.0499999999999972</v>
      </c>
      <c r="BH47" s="255">
        <f t="shared" si="214"/>
        <v>9.0499999999999972</v>
      </c>
      <c r="BI47" s="255">
        <f t="shared" si="214"/>
        <v>9.0499999999999972</v>
      </c>
      <c r="BJ47" s="255">
        <f t="shared" si="214"/>
        <v>9.0499999999999972</v>
      </c>
      <c r="BK47" s="255">
        <f t="shared" si="214"/>
        <v>9.0499999999999972</v>
      </c>
      <c r="BL47" s="255">
        <f t="shared" si="214"/>
        <v>0</v>
      </c>
      <c r="BM47" s="255">
        <f t="shared" si="214"/>
        <v>0</v>
      </c>
      <c r="BN47" s="255">
        <f t="shared" ref="BN47:BU47" si="215">IF(BN25&lt;&gt;"",$C$13*$B$5/(BF19-BN19),0)</f>
        <v>1.0000000000000009</v>
      </c>
      <c r="BO47" s="255">
        <f t="shared" si="215"/>
        <v>1.0000000000000009</v>
      </c>
      <c r="BP47" s="255">
        <f t="shared" si="215"/>
        <v>1.0000000000000009</v>
      </c>
      <c r="BQ47" s="255">
        <f t="shared" si="215"/>
        <v>1.0000000000000009</v>
      </c>
      <c r="BR47" s="255">
        <f t="shared" si="215"/>
        <v>1.0000000000000009</v>
      </c>
      <c r="BS47" s="255">
        <f t="shared" si="215"/>
        <v>1.0000000000000009</v>
      </c>
      <c r="BT47" s="255">
        <f t="shared" si="215"/>
        <v>0</v>
      </c>
      <c r="BU47" s="255">
        <f t="shared" si="215"/>
        <v>0</v>
      </c>
      <c r="BV47" s="255">
        <f>IF(BV25&lt;&gt;"",-$E$14*$B$5/(BV19-CD19)-$E$12,0)</f>
        <v>-25.6</v>
      </c>
      <c r="BW47" s="255">
        <f t="shared" ref="BW47" si="216">IF(BW25&lt;&gt;"",-$E$14*$B$5/(BW19-CE19)-$E$12,0)</f>
        <v>-25.6</v>
      </c>
      <c r="BX47" s="255">
        <f t="shared" ref="BX47" si="217">IF(BX25&lt;&gt;"",-$E$14*$B$5/(BX19-CF19)-$E$12,0)</f>
        <v>-25.6</v>
      </c>
      <c r="BY47" s="255">
        <f t="shared" ref="BY47" si="218">IF(BY25&lt;&gt;"",-$E$14*$B$5/(BY19-CG19)-$E$12,0)</f>
        <v>-25.6</v>
      </c>
      <c r="BZ47" s="255">
        <f>IF(BZ25&lt;&gt;"",-$E$14*$B$5/(BZ19-CH19)-$E$12,0)</f>
        <v>-25.6</v>
      </c>
      <c r="CA47" s="255">
        <f>IF(CA25&lt;&gt;"",-$E$14*$B$5/(CA19-CI19)-$E$12,0)</f>
        <v>-25.6</v>
      </c>
      <c r="CB47" s="255">
        <f>IF(CB25&lt;&gt;"",-$E$14*$B$5/(CB19-CJ19)-$E$12,0)</f>
        <v>0</v>
      </c>
      <c r="CC47" s="255">
        <f>IF(CC25&lt;&gt;"",-$E$14*$B$5/(CC19-CK19)-$E$12,0)</f>
        <v>0</v>
      </c>
      <c r="CD47" s="255">
        <f>IF(CD25&lt;&gt;"",$E$14*$B$5/(BV19-CD19),0)</f>
        <v>24</v>
      </c>
      <c r="CE47" s="255">
        <f t="shared" ref="CE47" si="219">IF(CE25&lt;&gt;"",$E$14*$B$5/(BW19-CE19),0)</f>
        <v>24</v>
      </c>
      <c r="CF47" s="255">
        <f t="shared" ref="CF47" si="220">IF(CF25&lt;&gt;"",$E$14*$B$5/(BX19-CF19),0)</f>
        <v>24</v>
      </c>
      <c r="CG47" s="255">
        <f t="shared" ref="CG47" si="221">IF(CG25&lt;&gt;"",$E$14*$B$5/(BY19-CG19),0)</f>
        <v>24</v>
      </c>
      <c r="CH47" s="255">
        <f t="shared" ref="CH47" si="222">IF(CH25&lt;&gt;"",$E$14*$B$5/(BZ19-CH19),0)</f>
        <v>24</v>
      </c>
      <c r="CI47" s="255">
        <f t="shared" ref="CI47:CK47" si="223">IF(CI25&lt;&gt;"",$E$14*$B$5/(CA19-CI19),0)</f>
        <v>24</v>
      </c>
      <c r="CJ47" s="255">
        <f t="shared" si="223"/>
        <v>0</v>
      </c>
      <c r="CK47" s="255">
        <f t="shared" si="223"/>
        <v>0</v>
      </c>
      <c r="CL47" s="255">
        <v>1</v>
      </c>
      <c r="CM47" s="255">
        <v>1</v>
      </c>
      <c r="CN47" s="255">
        <v>1</v>
      </c>
      <c r="CO47" s="255">
        <v>1</v>
      </c>
      <c r="CP47" s="255">
        <v>1</v>
      </c>
      <c r="CQ47" s="255">
        <v>1</v>
      </c>
      <c r="CR47" s="255">
        <v>0</v>
      </c>
      <c r="CS47" s="255">
        <v>0</v>
      </c>
    </row>
    <row r="48" spans="1:97">
      <c r="A48" t="s">
        <v>69</v>
      </c>
      <c r="B48" s="9" t="str">
        <f t="shared" ref="B48:AJ48" si="224">IF(B55&lt;0,"Sell","Buy")</f>
        <v>Sell</v>
      </c>
      <c r="C48" s="9" t="str">
        <f t="shared" si="224"/>
        <v>Sell</v>
      </c>
      <c r="D48" s="9" t="str">
        <f t="shared" si="224"/>
        <v>Sell</v>
      </c>
      <c r="E48" s="9" t="str">
        <f t="shared" ref="E48:F48" si="225">IF(E55&lt;0,"Sell","Buy")</f>
        <v>Sell</v>
      </c>
      <c r="F48" s="9" t="str">
        <f t="shared" si="225"/>
        <v>Sell</v>
      </c>
      <c r="G48" s="9" t="str">
        <f t="shared" ref="G48:H48" si="226">IF(G55&lt;0,"Sell","Buy")</f>
        <v>Sell</v>
      </c>
      <c r="H48" s="9" t="str">
        <f t="shared" si="226"/>
        <v>Buy</v>
      </c>
      <c r="I48" s="9" t="str">
        <f t="shared" ref="I48" si="227">IF(I55&lt;0,"Sell","Buy")</f>
        <v>Buy</v>
      </c>
      <c r="J48" s="9" t="str">
        <f t="shared" si="224"/>
        <v>Buy</v>
      </c>
      <c r="K48" s="9" t="str">
        <f t="shared" si="224"/>
        <v>Buy</v>
      </c>
      <c r="L48" s="9" t="str">
        <f t="shared" si="224"/>
        <v>Buy</v>
      </c>
      <c r="M48" s="9" t="str">
        <f t="shared" ref="M48:N48" si="228">IF(M55&lt;0,"Sell","Buy")</f>
        <v>Buy</v>
      </c>
      <c r="N48" s="9" t="str">
        <f t="shared" si="228"/>
        <v>Buy</v>
      </c>
      <c r="O48" s="9" t="str">
        <f t="shared" ref="O48:P48" si="229">IF(O55&lt;0,"Sell","Buy")</f>
        <v>Buy</v>
      </c>
      <c r="P48" s="9" t="str">
        <f t="shared" si="229"/>
        <v>Buy</v>
      </c>
      <c r="Q48" s="9" t="str">
        <f t="shared" ref="Q48" si="230">IF(Q55&lt;0,"Sell","Buy")</f>
        <v>Buy</v>
      </c>
      <c r="R48" s="9" t="str">
        <f t="shared" si="224"/>
        <v>Buy</v>
      </c>
      <c r="S48" s="9" t="str">
        <f t="shared" si="224"/>
        <v>Buy</v>
      </c>
      <c r="T48" s="9" t="str">
        <f t="shared" si="224"/>
        <v>Buy</v>
      </c>
      <c r="U48" s="9" t="str">
        <f t="shared" ref="U48:V48" si="231">IF(U55&lt;0,"Sell","Buy")</f>
        <v>Buy</v>
      </c>
      <c r="V48" s="9" t="str">
        <f t="shared" si="231"/>
        <v>Buy</v>
      </c>
      <c r="W48" s="9" t="str">
        <f t="shared" ref="W48:X48" si="232">IF(W55&lt;0,"Sell","Buy")</f>
        <v>Buy</v>
      </c>
      <c r="X48" s="9" t="str">
        <f t="shared" si="232"/>
        <v>Buy</v>
      </c>
      <c r="Y48" s="9" t="str">
        <f t="shared" ref="Y48" si="233">IF(Y55&lt;0,"Sell","Buy")</f>
        <v>Buy</v>
      </c>
      <c r="Z48" s="9" t="str">
        <f t="shared" si="224"/>
        <v>Sell</v>
      </c>
      <c r="AA48" s="9" t="str">
        <f t="shared" si="224"/>
        <v>Sell</v>
      </c>
      <c r="AB48" s="9" t="str">
        <f t="shared" si="224"/>
        <v>Sell</v>
      </c>
      <c r="AC48" s="9" t="str">
        <f t="shared" ref="AC48:AD48" si="234">IF(AC55&lt;0,"Sell","Buy")</f>
        <v>Sell</v>
      </c>
      <c r="AD48" s="9" t="str">
        <f t="shared" si="234"/>
        <v>Sell</v>
      </c>
      <c r="AE48" s="9" t="str">
        <f t="shared" ref="AE48:AF48" si="235">IF(AE55&lt;0,"Sell","Buy")</f>
        <v>Sell</v>
      </c>
      <c r="AF48" s="9" t="str">
        <f t="shared" si="235"/>
        <v>Buy</v>
      </c>
      <c r="AG48" s="9" t="str">
        <f t="shared" ref="AG48" si="236">IF(AG55&lt;0,"Sell","Buy")</f>
        <v>Buy</v>
      </c>
      <c r="AH48" s="9" t="str">
        <f t="shared" si="224"/>
        <v>Buy</v>
      </c>
      <c r="AI48" s="9" t="str">
        <f t="shared" si="224"/>
        <v>Buy</v>
      </c>
      <c r="AJ48" s="9" t="str">
        <f t="shared" si="224"/>
        <v>Buy</v>
      </c>
      <c r="AK48" s="9" t="str">
        <f t="shared" ref="AK48:AL48" si="237">IF(AK55&lt;0,"Sell","Buy")</f>
        <v>Buy</v>
      </c>
      <c r="AL48" s="9" t="str">
        <f t="shared" si="237"/>
        <v>Buy</v>
      </c>
      <c r="AM48" s="9" t="str">
        <f t="shared" ref="AM48:AN48" si="238">IF(AM55&lt;0,"Sell","Buy")</f>
        <v>Buy</v>
      </c>
      <c r="AN48" s="9" t="str">
        <f t="shared" si="238"/>
        <v>Buy</v>
      </c>
      <c r="AO48" s="9" t="str">
        <f t="shared" ref="AO48" si="239">IF(AO55&lt;0,"Sell","Buy")</f>
        <v>Buy</v>
      </c>
      <c r="AP48" s="9" t="str">
        <f t="shared" ref="AP48:AU48" si="240">IF(AP55&lt;0,"Sell","Buy")</f>
        <v>Buy</v>
      </c>
      <c r="AQ48" s="9" t="str">
        <f t="shared" si="240"/>
        <v>Buy</v>
      </c>
      <c r="AR48" s="9" t="str">
        <f t="shared" si="240"/>
        <v>Buy</v>
      </c>
      <c r="AS48" s="9" t="str">
        <f t="shared" si="240"/>
        <v>Buy</v>
      </c>
      <c r="AT48" s="9" t="str">
        <f t="shared" si="240"/>
        <v>Buy</v>
      </c>
      <c r="AU48" s="9" t="str">
        <f t="shared" si="240"/>
        <v>Buy</v>
      </c>
      <c r="AV48" s="9" t="str">
        <f t="shared" ref="AV48:AW48" si="241">IF(AV55&lt;0,"Sell","Buy")</f>
        <v>Buy</v>
      </c>
      <c r="AW48" s="9" t="str">
        <f t="shared" si="241"/>
        <v>Buy</v>
      </c>
      <c r="AX48" s="9" t="str">
        <f t="shared" ref="AX48:CI48" si="242">IF(AX55&lt;0,"Sell","Buy")</f>
        <v>Sell</v>
      </c>
      <c r="AY48" s="9" t="str">
        <f t="shared" si="242"/>
        <v>Sell</v>
      </c>
      <c r="AZ48" s="9" t="str">
        <f t="shared" si="242"/>
        <v>Sell</v>
      </c>
      <c r="BA48" s="9" t="str">
        <f t="shared" si="242"/>
        <v>Sell</v>
      </c>
      <c r="BB48" s="9" t="str">
        <f t="shared" si="242"/>
        <v>Sell</v>
      </c>
      <c r="BC48" s="9" t="str">
        <f t="shared" si="242"/>
        <v>Sell</v>
      </c>
      <c r="BD48" s="9" t="str">
        <f t="shared" ref="BD48:BE48" si="243">IF(BD55&lt;0,"Sell","Buy")</f>
        <v>Buy</v>
      </c>
      <c r="BE48" s="9" t="str">
        <f t="shared" si="243"/>
        <v>Buy</v>
      </c>
      <c r="BF48" s="9" t="str">
        <f t="shared" si="242"/>
        <v>Buy</v>
      </c>
      <c r="BG48" s="9" t="str">
        <f t="shared" si="242"/>
        <v>Buy</v>
      </c>
      <c r="BH48" s="9" t="str">
        <f t="shared" si="242"/>
        <v>Buy</v>
      </c>
      <c r="BI48" s="9" t="str">
        <f t="shared" si="242"/>
        <v>Buy</v>
      </c>
      <c r="BJ48" s="9" t="str">
        <f t="shared" si="242"/>
        <v>Buy</v>
      </c>
      <c r="BK48" s="9" t="str">
        <f t="shared" si="242"/>
        <v>Buy</v>
      </c>
      <c r="BL48" s="9" t="str">
        <f t="shared" ref="BL48:BM48" si="244">IF(BL55&lt;0,"Sell","Buy")</f>
        <v>Buy</v>
      </c>
      <c r="BM48" s="9" t="str">
        <f t="shared" si="244"/>
        <v>Buy</v>
      </c>
      <c r="BN48" s="9" t="str">
        <f t="shared" si="242"/>
        <v>Buy</v>
      </c>
      <c r="BO48" s="9" t="str">
        <f t="shared" si="242"/>
        <v>Buy</v>
      </c>
      <c r="BP48" s="9" t="str">
        <f t="shared" si="242"/>
        <v>Buy</v>
      </c>
      <c r="BQ48" s="9" t="str">
        <f t="shared" si="242"/>
        <v>Buy</v>
      </c>
      <c r="BR48" s="9" t="str">
        <f t="shared" si="242"/>
        <v>Buy</v>
      </c>
      <c r="BS48" s="9" t="str">
        <f t="shared" si="242"/>
        <v>Buy</v>
      </c>
      <c r="BT48" s="9" t="str">
        <f t="shared" ref="BT48:BU48" si="245">IF(BT55&lt;0,"Sell","Buy")</f>
        <v>Buy</v>
      </c>
      <c r="BU48" s="9" t="str">
        <f t="shared" si="245"/>
        <v>Buy</v>
      </c>
      <c r="BV48" s="9" t="str">
        <f t="shared" si="242"/>
        <v>Sell</v>
      </c>
      <c r="BW48" s="9" t="str">
        <f t="shared" si="242"/>
        <v>Sell</v>
      </c>
      <c r="BX48" s="9" t="str">
        <f t="shared" si="242"/>
        <v>Sell</v>
      </c>
      <c r="BY48" s="9" t="str">
        <f t="shared" si="242"/>
        <v>Sell</v>
      </c>
      <c r="BZ48" s="9" t="str">
        <f t="shared" si="242"/>
        <v>Sell</v>
      </c>
      <c r="CA48" s="9" t="str">
        <f t="shared" si="242"/>
        <v>Sell</v>
      </c>
      <c r="CB48" s="9" t="str">
        <f t="shared" ref="CB48:CC48" si="246">IF(CB55&lt;0,"Sell","Buy")</f>
        <v>Buy</v>
      </c>
      <c r="CC48" s="9" t="str">
        <f t="shared" si="246"/>
        <v>Buy</v>
      </c>
      <c r="CD48" s="9" t="str">
        <f t="shared" si="242"/>
        <v>Buy</v>
      </c>
      <c r="CE48" s="9" t="str">
        <f t="shared" si="242"/>
        <v>Buy</v>
      </c>
      <c r="CF48" s="9" t="str">
        <f t="shared" si="242"/>
        <v>Buy</v>
      </c>
      <c r="CG48" s="9" t="str">
        <f t="shared" si="242"/>
        <v>Buy</v>
      </c>
      <c r="CH48" s="9" t="str">
        <f t="shared" si="242"/>
        <v>Buy</v>
      </c>
      <c r="CI48" s="9" t="str">
        <f t="shared" si="242"/>
        <v>Buy</v>
      </c>
      <c r="CJ48" s="9" t="str">
        <f t="shared" ref="CJ48:CK48" si="247">IF(CJ55&lt;0,"Sell","Buy")</f>
        <v>Buy</v>
      </c>
      <c r="CK48" s="9" t="str">
        <f t="shared" si="247"/>
        <v>Buy</v>
      </c>
      <c r="CL48" s="9" t="str">
        <f t="shared" ref="CL48:CQ48" si="248">IF(CL55&lt;0,"Sell","Buy")</f>
        <v>Buy</v>
      </c>
      <c r="CM48" s="9" t="str">
        <f t="shared" si="248"/>
        <v>Buy</v>
      </c>
      <c r="CN48" s="9" t="str">
        <f t="shared" si="248"/>
        <v>Buy</v>
      </c>
      <c r="CO48" s="9" t="str">
        <f t="shared" si="248"/>
        <v>Buy</v>
      </c>
      <c r="CP48" s="9" t="str">
        <f t="shared" si="248"/>
        <v>Buy</v>
      </c>
      <c r="CQ48" s="9" t="str">
        <f t="shared" si="248"/>
        <v>Buy</v>
      </c>
      <c r="CR48" s="9" t="str">
        <f t="shared" ref="CR48:CS48" si="249">IF(CR55&lt;0,"Sell","Buy")</f>
        <v>Buy</v>
      </c>
      <c r="CS48" s="9" t="str">
        <f t="shared" si="249"/>
        <v>Buy</v>
      </c>
    </row>
    <row r="49" spans="1:97">
      <c r="A49" t="s">
        <v>8</v>
      </c>
      <c r="B49" s="254">
        <f t="shared" ref="B49:AJ49" ca="1" si="250">IF(B$25="C",(B27+0.5)*EXP(B28*(B20-B26)/365)*NORMDIST((LN((B27+0.5)*EXP(B28*(B20-B26)/365)/B19)+0.5*B32*B32*(B20-B26)/365)/B32/SQRT((B20-B26)/365),0,1,TRUE)-B19*NORMDIST((LN((B27+0.5)*EXP(B28*(B20-B26)/365)/B19)-0.5*B32*B32*(B20-B26)/365)/B32/SQRT((B20-B26)/365),0,1,TRUE),IF(B$25="P",-1*(B27+0.5)*EXP(B28*(B20-B26)/365)*NORMDIST((-1*LN((B27+0.5)*EXP(B28*(B20-B26)/365)/B19)-0.5*B32*B32*(B20-B26)/365)/B32/SQRT((B20-B26)/365),0,1,TRUE)+B19*NORMDIST((-1*LN((B27+0.5)*EXP(B28*(B20-B26)/365)/B19)+0.5*B32*B32*(B20-B26)/365)/B32/SQRT((B20-B26)/365),0,1,TRUE),0))*EXP(-1*B29*(B20-B26)/365)-IF(B$25="C",(B27-0.5)*EXP(B28*(B20-B26)/365)*NORMDIST((LN((B27-0.5)*EXP(B28*(B20-B26)/365)/B19)+0.5*B32*B32*(B20-B26)/365)/B32/SQRT((B20-B26)/365),0,1,TRUE)-B19*NORMDIST((LN((B27-0.5)*EXP(B28*(B20-B26)/365)/B19)-0.5*B32*B32*(B20-B26)/365)/B32/SQRT((B20-B26)/365),0,1,TRUE),IF(B$25="P",-1*(B27-0.5)*EXP(B28*(B20-B26)/365)*NORMDIST((-1*LN((B27-0.5)*EXP(B28*(B20-B26)/365)/B19)-0.5*B32*B32*(B20-B26)/365)/B32/SQRT((B20-B26)/365),0,1,TRUE)+B19*NORMDIST((-1*LN((B27-0.5)*EXP(B28*(B20-B26)/365)/B19)+0.5*B32*B32*(B20-B26)/365)/B32/SQRT((B20-B26)/365),0,1,TRUE),0))*EXP(-1*B29*(B20-B26)/365)</f>
        <v>-0.61761614151510003</v>
      </c>
      <c r="C49" s="254">
        <f t="shared" ca="1" si="250"/>
        <v>-0.59209429874863417</v>
      </c>
      <c r="D49" s="254">
        <f t="shared" ca="1" si="250"/>
        <v>-0.56583086870341504</v>
      </c>
      <c r="E49" s="254">
        <f t="shared" ref="E49:F49" ca="1" si="251">IF(E$25="C",(E27+0.5)*EXP(E28*(E20-E26)/365)*NORMDIST((LN((E27+0.5)*EXP(E28*(E20-E26)/365)/E19)+0.5*E32*E32*(E20-E26)/365)/E32/SQRT((E20-E26)/365),0,1,TRUE)-E19*NORMDIST((LN((E27+0.5)*EXP(E28*(E20-E26)/365)/E19)-0.5*E32*E32*(E20-E26)/365)/E32/SQRT((E20-E26)/365),0,1,TRUE),IF(E$25="P",-1*(E27+0.5)*EXP(E28*(E20-E26)/365)*NORMDIST((-1*LN((E27+0.5)*EXP(E28*(E20-E26)/365)/E19)-0.5*E32*E32*(E20-E26)/365)/E32/SQRT((E20-E26)/365),0,1,TRUE)+E19*NORMDIST((-1*LN((E27+0.5)*EXP(E28*(E20-E26)/365)/E19)+0.5*E32*E32*(E20-E26)/365)/E32/SQRT((E20-E26)/365),0,1,TRUE),0))*EXP(-1*E29*(E20-E26)/365)-IF(E$25="C",(E27-0.5)*EXP(E28*(E20-E26)/365)*NORMDIST((LN((E27-0.5)*EXP(E28*(E20-E26)/365)/E19)+0.5*E32*E32*(E20-E26)/365)/E32/SQRT((E20-E26)/365),0,1,TRUE)-E19*NORMDIST((LN((E27-0.5)*EXP(E28*(E20-E26)/365)/E19)-0.5*E32*E32*(E20-E26)/365)/E32/SQRT((E20-E26)/365),0,1,TRUE),IF(E$25="P",-1*(E27-0.5)*EXP(E28*(E20-E26)/365)*NORMDIST((-1*LN((E27-0.5)*EXP(E28*(E20-E26)/365)/E19)-0.5*E32*E32*(E20-E26)/365)/E32/SQRT((E20-E26)/365),0,1,TRUE)+E19*NORMDIST((-1*LN((E27-0.5)*EXP(E28*(E20-E26)/365)/E19)+0.5*E32*E32*(E20-E26)/365)/E32/SQRT((E20-E26)/365),0,1,TRUE),0))*EXP(-1*E29*(E20-E26)/365)</f>
        <v>-0.53907820379572513</v>
      </c>
      <c r="F49" s="254">
        <f t="shared" ca="1" si="251"/>
        <v>-0.51557895609767002</v>
      </c>
      <c r="G49" s="254">
        <f t="shared" ref="G49:H49" ca="1" si="252">IF(G$25="C",(G27+0.5)*EXP(G28*(G20-G26)/365)*NORMDIST((LN((G27+0.5)*EXP(G28*(G20-G26)/365)/G19)+0.5*G32*G32*(G20-G26)/365)/G32/SQRT((G20-G26)/365),0,1,TRUE)-G19*NORMDIST((LN((G27+0.5)*EXP(G28*(G20-G26)/365)/G19)-0.5*G32*G32*(G20-G26)/365)/G32/SQRT((G20-G26)/365),0,1,TRUE),IF(G$25="P",-1*(G27+0.5)*EXP(G28*(G20-G26)/365)*NORMDIST((-1*LN((G27+0.5)*EXP(G28*(G20-G26)/365)/G19)-0.5*G32*G32*(G20-G26)/365)/G32/SQRT((G20-G26)/365),0,1,TRUE)+G19*NORMDIST((-1*LN((G27+0.5)*EXP(G28*(G20-G26)/365)/G19)+0.5*G32*G32*(G20-G26)/365)/G32/SQRT((G20-G26)/365),0,1,TRUE),0))*EXP(-1*G29*(G20-G26)/365)-IF(G$25="C",(G27-0.5)*EXP(G28*(G20-G26)/365)*NORMDIST((LN((G27-0.5)*EXP(G28*(G20-G26)/365)/G19)+0.5*G32*G32*(G20-G26)/365)/G32/SQRT((G20-G26)/365),0,1,TRUE)-G19*NORMDIST((LN((G27-0.5)*EXP(G28*(G20-G26)/365)/G19)-0.5*G32*G32*(G20-G26)/365)/G32/SQRT((G20-G26)/365),0,1,TRUE),IF(G$25="P",-1*(G27-0.5)*EXP(G28*(G20-G26)/365)*NORMDIST((-1*LN((G27-0.5)*EXP(G28*(G20-G26)/365)/G19)-0.5*G32*G32*(G20-G26)/365)/G32/SQRT((G20-G26)/365),0,1,TRUE)+G19*NORMDIST((-1*LN((G27-0.5)*EXP(G28*(G20-G26)/365)/G19)+0.5*G32*G32*(G20-G26)/365)/G32/SQRT((G20-G26)/365),0,1,TRUE),0))*EXP(-1*G29*(G20-G26)/365)</f>
        <v>-0.49496908739638457</v>
      </c>
      <c r="H49" s="254">
        <f t="shared" si="252"/>
        <v>0</v>
      </c>
      <c r="I49" s="254">
        <f t="shared" ref="I49" si="253">IF(I$25="C",(I27+0.5)*EXP(I28*(I20-I26)/365)*NORMDIST((LN((I27+0.5)*EXP(I28*(I20-I26)/365)/I19)+0.5*I32*I32*(I20-I26)/365)/I32/SQRT((I20-I26)/365),0,1,TRUE)-I19*NORMDIST((LN((I27+0.5)*EXP(I28*(I20-I26)/365)/I19)-0.5*I32*I32*(I20-I26)/365)/I32/SQRT((I20-I26)/365),0,1,TRUE),IF(I$25="P",-1*(I27+0.5)*EXP(I28*(I20-I26)/365)*NORMDIST((-1*LN((I27+0.5)*EXP(I28*(I20-I26)/365)/I19)-0.5*I32*I32*(I20-I26)/365)/I32/SQRT((I20-I26)/365),0,1,TRUE)+I19*NORMDIST((-1*LN((I27+0.5)*EXP(I28*(I20-I26)/365)/I19)+0.5*I32*I32*(I20-I26)/365)/I32/SQRT((I20-I26)/365),0,1,TRUE),0))*EXP(-1*I29*(I20-I26)/365)-IF(I$25="C",(I27-0.5)*EXP(I28*(I20-I26)/365)*NORMDIST((LN((I27-0.5)*EXP(I28*(I20-I26)/365)/I19)+0.5*I32*I32*(I20-I26)/365)/I32/SQRT((I20-I26)/365),0,1,TRUE)-I19*NORMDIST((LN((I27-0.5)*EXP(I28*(I20-I26)/365)/I19)-0.5*I32*I32*(I20-I26)/365)/I32/SQRT((I20-I26)/365),0,1,TRUE),IF(I$25="P",-1*(I27-0.5)*EXP(I28*(I20-I26)/365)*NORMDIST((-1*LN((I27-0.5)*EXP(I28*(I20-I26)/365)/I19)-0.5*I32*I32*(I20-I26)/365)/I32/SQRT((I20-I26)/365),0,1,TRUE)+I19*NORMDIST((-1*LN((I27-0.5)*EXP(I28*(I20-I26)/365)/I19)+0.5*I32*I32*(I20-I26)/365)/I32/SQRT((I20-I26)/365),0,1,TRUE),0))*EXP(-1*I29*(I20-I26)/365)</f>
        <v>0</v>
      </c>
      <c r="J49" s="254">
        <f t="shared" ca="1" si="250"/>
        <v>-0.50434077491263452</v>
      </c>
      <c r="K49" s="254">
        <f t="shared" ca="1" si="250"/>
        <v>-0.48202283495811571</v>
      </c>
      <c r="L49" s="254">
        <f t="shared" ca="1" si="250"/>
        <v>-0.45938064974143344</v>
      </c>
      <c r="M49" s="254">
        <f t="shared" ref="M49:N49" ca="1" si="254">IF(M$25="C",(M27+0.5)*EXP(M28*(M20-M26)/365)*NORMDIST((LN((M27+0.5)*EXP(M28*(M20-M26)/365)/M19)+0.5*M32*M32*(M20-M26)/365)/M32/SQRT((M20-M26)/365),0,1,TRUE)-M19*NORMDIST((LN((M27+0.5)*EXP(M28*(M20-M26)/365)/M19)-0.5*M32*M32*(M20-M26)/365)/M32/SQRT((M20-M26)/365),0,1,TRUE),IF(M$25="P",-1*(M27+0.5)*EXP(M28*(M20-M26)/365)*NORMDIST((-1*LN((M27+0.5)*EXP(M28*(M20-M26)/365)/M19)-0.5*M32*M32*(M20-M26)/365)/M32/SQRT((M20-M26)/365),0,1,TRUE)+M19*NORMDIST((-1*LN((M27+0.5)*EXP(M28*(M20-M26)/365)/M19)+0.5*M32*M32*(M20-M26)/365)/M32/SQRT((M20-M26)/365),0,1,TRUE),0))*EXP(-1*M29*(M20-M26)/365)-IF(M$25="C",(M27-0.5)*EXP(M28*(M20-M26)/365)*NORMDIST((LN((M27-0.5)*EXP(M28*(M20-M26)/365)/M19)+0.5*M32*M32*(M20-M26)/365)/M32/SQRT((M20-M26)/365),0,1,TRUE)-M19*NORMDIST((LN((M27-0.5)*EXP(M28*(M20-M26)/365)/M19)-0.5*M32*M32*(M20-M26)/365)/M32/SQRT((M20-M26)/365),0,1,TRUE),IF(M$25="P",-1*(M27-0.5)*EXP(M28*(M20-M26)/365)*NORMDIST((-1*LN((M27-0.5)*EXP(M28*(M20-M26)/365)/M19)-0.5*M32*M32*(M20-M26)/365)/M32/SQRT((M20-M26)/365),0,1,TRUE)+M19*NORMDIST((-1*LN((M27-0.5)*EXP(M28*(M20-M26)/365)/M19)+0.5*M32*M32*(M20-M26)/365)/M32/SQRT((M20-M26)/365),0,1,TRUE),0))*EXP(-1*M29*(M20-M26)/365)</f>
        <v>-0.43661484731819655</v>
      </c>
      <c r="N49" s="254">
        <f t="shared" ca="1" si="254"/>
        <v>-0.41683753476354468</v>
      </c>
      <c r="O49" s="254">
        <f t="shared" ref="O49:P49" ca="1" si="255">IF(O$25="C",(O27+0.5)*EXP(O28*(O20-O26)/365)*NORMDIST((LN((O27+0.5)*EXP(O28*(O20-O26)/365)/O19)+0.5*O32*O32*(O20-O26)/365)/O32/SQRT((O20-O26)/365),0,1,TRUE)-O19*NORMDIST((LN((O27+0.5)*EXP(O28*(O20-O26)/365)/O19)-0.5*O32*O32*(O20-O26)/365)/O32/SQRT((O20-O26)/365),0,1,TRUE),IF(O$25="P",-1*(O27+0.5)*EXP(O28*(O20-O26)/365)*NORMDIST((-1*LN((O27+0.5)*EXP(O28*(O20-O26)/365)/O19)-0.5*O32*O32*(O20-O26)/365)/O32/SQRT((O20-O26)/365),0,1,TRUE)+O19*NORMDIST((-1*LN((O27+0.5)*EXP(O28*(O20-O26)/365)/O19)+0.5*O32*O32*(O20-O26)/365)/O32/SQRT((O20-O26)/365),0,1,TRUE),0))*EXP(-1*O29*(O20-O26)/365)-IF(O$25="C",(O27-0.5)*EXP(O28*(O20-O26)/365)*NORMDIST((LN((O27-0.5)*EXP(O28*(O20-O26)/365)/O19)+0.5*O32*O32*(O20-O26)/365)/O32/SQRT((O20-O26)/365),0,1,TRUE)-O19*NORMDIST((LN((O27-0.5)*EXP(O28*(O20-O26)/365)/O19)-0.5*O32*O32*(O20-O26)/365)/O32/SQRT((O20-O26)/365),0,1,TRUE),IF(O$25="P",-1*(O27-0.5)*EXP(O28*(O20-O26)/365)*NORMDIST((-1*LN((O27-0.5)*EXP(O28*(O20-O26)/365)/O19)-0.5*O32*O32*(O20-O26)/365)/O32/SQRT((O20-O26)/365),0,1,TRUE)+O19*NORMDIST((-1*LN((O27-0.5)*EXP(O28*(O20-O26)/365)/O19)+0.5*O32*O32*(O20-O26)/365)/O32/SQRT((O20-O26)/365),0,1,TRUE),0))*EXP(-1*O29*(O20-O26)/365)</f>
        <v>-0.39964333577154321</v>
      </c>
      <c r="P49" s="254">
        <f t="shared" si="255"/>
        <v>0</v>
      </c>
      <c r="Q49" s="254">
        <f t="shared" ref="Q49" si="256">IF(Q$25="C",(Q27+0.5)*EXP(Q28*(Q20-Q26)/365)*NORMDIST((LN((Q27+0.5)*EXP(Q28*(Q20-Q26)/365)/Q19)+0.5*Q32*Q32*(Q20-Q26)/365)/Q32/SQRT((Q20-Q26)/365),0,1,TRUE)-Q19*NORMDIST((LN((Q27+0.5)*EXP(Q28*(Q20-Q26)/365)/Q19)-0.5*Q32*Q32*(Q20-Q26)/365)/Q32/SQRT((Q20-Q26)/365),0,1,TRUE),IF(Q$25="P",-1*(Q27+0.5)*EXP(Q28*(Q20-Q26)/365)*NORMDIST((-1*LN((Q27+0.5)*EXP(Q28*(Q20-Q26)/365)/Q19)-0.5*Q32*Q32*(Q20-Q26)/365)/Q32/SQRT((Q20-Q26)/365),0,1,TRUE)+Q19*NORMDIST((-1*LN((Q27+0.5)*EXP(Q28*(Q20-Q26)/365)/Q19)+0.5*Q32*Q32*(Q20-Q26)/365)/Q32/SQRT((Q20-Q26)/365),0,1,TRUE),0))*EXP(-1*Q29*(Q20-Q26)/365)-IF(Q$25="C",(Q27-0.5)*EXP(Q28*(Q20-Q26)/365)*NORMDIST((LN((Q27-0.5)*EXP(Q28*(Q20-Q26)/365)/Q19)+0.5*Q32*Q32*(Q20-Q26)/365)/Q32/SQRT((Q20-Q26)/365),0,1,TRUE)-Q19*NORMDIST((LN((Q27-0.5)*EXP(Q28*(Q20-Q26)/365)/Q19)-0.5*Q32*Q32*(Q20-Q26)/365)/Q32/SQRT((Q20-Q26)/365),0,1,TRUE),IF(Q$25="P",-1*(Q27-0.5)*EXP(Q28*(Q20-Q26)/365)*NORMDIST((-1*LN((Q27-0.5)*EXP(Q28*(Q20-Q26)/365)/Q19)-0.5*Q32*Q32*(Q20-Q26)/365)/Q32/SQRT((Q20-Q26)/365),0,1,TRUE)+Q19*NORMDIST((-1*LN((Q27-0.5)*EXP(Q28*(Q20-Q26)/365)/Q19)+0.5*Q32*Q32*(Q20-Q26)/365)/Q32/SQRT((Q20-Q26)/365),0,1,TRUE),0))*EXP(-1*Q29*(Q20-Q26)/365)</f>
        <v>0</v>
      </c>
      <c r="R49" s="254">
        <f t="shared" ca="1" si="250"/>
        <v>-0.48107987407092878</v>
      </c>
      <c r="S49" s="254">
        <f t="shared" ca="1" si="250"/>
        <v>-0.45968102258484578</v>
      </c>
      <c r="T49" s="254">
        <f t="shared" ca="1" si="250"/>
        <v>-0.43801221616195107</v>
      </c>
      <c r="U49" s="254">
        <f t="shared" ref="U49:V49" ca="1" si="257">IF(U$25="C",(U27+0.5)*EXP(U28*(U20-U26)/365)*NORMDIST((LN((U27+0.5)*EXP(U28*(U20-U26)/365)/U19)+0.5*U32*U32*(U20-U26)/365)/U32/SQRT((U20-U26)/365),0,1,TRUE)-U19*NORMDIST((LN((U27+0.5)*EXP(U28*(U20-U26)/365)/U19)-0.5*U32*U32*(U20-U26)/365)/U32/SQRT((U20-U26)/365),0,1,TRUE),IF(U$25="P",-1*(U27+0.5)*EXP(U28*(U20-U26)/365)*NORMDIST((-1*LN((U27+0.5)*EXP(U28*(U20-U26)/365)/U19)-0.5*U32*U32*(U20-U26)/365)/U32/SQRT((U20-U26)/365),0,1,TRUE)+U19*NORMDIST((-1*LN((U27+0.5)*EXP(U28*(U20-U26)/365)/U19)+0.5*U32*U32*(U20-U26)/365)/U32/SQRT((U20-U26)/365),0,1,TRUE),0))*EXP(-1*U29*(U20-U26)/365)-IF(U$25="C",(U27-0.5)*EXP(U28*(U20-U26)/365)*NORMDIST((LN((U27-0.5)*EXP(U28*(U20-U26)/365)/U19)+0.5*U32*U32*(U20-U26)/365)/U32/SQRT((U20-U26)/365),0,1,TRUE)-U19*NORMDIST((LN((U27-0.5)*EXP(U28*(U20-U26)/365)/U19)-0.5*U32*U32*(U20-U26)/365)/U32/SQRT((U20-U26)/365),0,1,TRUE),IF(U$25="P",-1*(U27-0.5)*EXP(U28*(U20-U26)/365)*NORMDIST((-1*LN((U27-0.5)*EXP(U28*(U20-U26)/365)/U19)-0.5*U32*U32*(U20-U26)/365)/U32/SQRT((U20-U26)/365),0,1,TRUE)+U19*NORMDIST((-1*LN((U27-0.5)*EXP(U28*(U20-U26)/365)/U19)+0.5*U32*U32*(U20-U26)/365)/U32/SQRT((U20-U26)/365),0,1,TRUE),0))*EXP(-1*U29*(U20-U26)/365)</f>
        <v>-0.41626169254777778</v>
      </c>
      <c r="V49" s="254">
        <f t="shared" ca="1" si="257"/>
        <v>-0.39739253210609604</v>
      </c>
      <c r="W49" s="254">
        <f t="shared" ref="W49:X49" ca="1" si="258">IF(W$25="C",(W27+0.5)*EXP(W28*(W20-W26)/365)*NORMDIST((LN((W27+0.5)*EXP(W28*(W20-W26)/365)/W19)+0.5*W32*W32*(W20-W26)/365)/W32/SQRT((W20-W26)/365),0,1,TRUE)-W19*NORMDIST((LN((W27+0.5)*EXP(W28*(W20-W26)/365)/W19)-0.5*W32*W32*(W20-W26)/365)/W32/SQRT((W20-W26)/365),0,1,TRUE),IF(W$25="P",-1*(W27+0.5)*EXP(W28*(W20-W26)/365)*NORMDIST((-1*LN((W27+0.5)*EXP(W28*(W20-W26)/365)/W19)-0.5*W32*W32*(W20-W26)/365)/W32/SQRT((W20-W26)/365),0,1,TRUE)+W19*NORMDIST((-1*LN((W27+0.5)*EXP(W28*(W20-W26)/365)/W19)+0.5*W32*W32*(W20-W26)/365)/W32/SQRT((W20-W26)/365),0,1,TRUE),0))*EXP(-1*W29*(W20-W26)/365)-IF(W$25="C",(W27-0.5)*EXP(W28*(W20-W26)/365)*NORMDIST((LN((W27-0.5)*EXP(W28*(W20-W26)/365)/W19)+0.5*W32*W32*(W20-W26)/365)/W32/SQRT((W20-W26)/365),0,1,TRUE)-W19*NORMDIST((LN((W27-0.5)*EXP(W28*(W20-W26)/365)/W19)-0.5*W32*W32*(W20-W26)/365)/W32/SQRT((W20-W26)/365),0,1,TRUE),IF(W$25="P",-1*(W27-0.5)*EXP(W28*(W20-W26)/365)*NORMDIST((-1*LN((W27-0.5)*EXP(W28*(W20-W26)/365)/W19)-0.5*W32*W32*(W20-W26)/365)/W32/SQRT((W20-W26)/365),0,1,TRUE)+W19*NORMDIST((-1*LN((W27-0.5)*EXP(W28*(W20-W26)/365)/W19)+0.5*W32*W32*(W20-W26)/365)/W32/SQRT((W20-W26)/365),0,1,TRUE),0))*EXP(-1*W29*(W20-W26)/365)</f>
        <v>-0.38100527094866266</v>
      </c>
      <c r="X49" s="254">
        <f t="shared" si="258"/>
        <v>0</v>
      </c>
      <c r="Y49" s="254">
        <f t="shared" ref="Y49" si="259">IF(Y$25="C",(Y27+0.5)*EXP(Y28*(Y20-Y26)/365)*NORMDIST((LN((Y27+0.5)*EXP(Y28*(Y20-Y26)/365)/Y19)+0.5*Y32*Y32*(Y20-Y26)/365)/Y32/SQRT((Y20-Y26)/365),0,1,TRUE)-Y19*NORMDIST((LN((Y27+0.5)*EXP(Y28*(Y20-Y26)/365)/Y19)-0.5*Y32*Y32*(Y20-Y26)/365)/Y32/SQRT((Y20-Y26)/365),0,1,TRUE),IF(Y$25="P",-1*(Y27+0.5)*EXP(Y28*(Y20-Y26)/365)*NORMDIST((-1*LN((Y27+0.5)*EXP(Y28*(Y20-Y26)/365)/Y19)-0.5*Y32*Y32*(Y20-Y26)/365)/Y32/SQRT((Y20-Y26)/365),0,1,TRUE)+Y19*NORMDIST((-1*LN((Y27+0.5)*EXP(Y28*(Y20-Y26)/365)/Y19)+0.5*Y32*Y32*(Y20-Y26)/365)/Y32/SQRT((Y20-Y26)/365),0,1,TRUE),0))*EXP(-1*Y29*(Y20-Y26)/365)-IF(Y$25="C",(Y27-0.5)*EXP(Y28*(Y20-Y26)/365)*NORMDIST((LN((Y27-0.5)*EXP(Y28*(Y20-Y26)/365)/Y19)+0.5*Y32*Y32*(Y20-Y26)/365)/Y32/SQRT((Y20-Y26)/365),0,1,TRUE)-Y19*NORMDIST((LN((Y27-0.5)*EXP(Y28*(Y20-Y26)/365)/Y19)-0.5*Y32*Y32*(Y20-Y26)/365)/Y32/SQRT((Y20-Y26)/365),0,1,TRUE),IF(Y$25="P",-1*(Y27-0.5)*EXP(Y28*(Y20-Y26)/365)*NORMDIST((-1*LN((Y27-0.5)*EXP(Y28*(Y20-Y26)/365)/Y19)-0.5*Y32*Y32*(Y20-Y26)/365)/Y32/SQRT((Y20-Y26)/365),0,1,TRUE)+Y19*NORMDIST((-1*LN((Y27-0.5)*EXP(Y28*(Y20-Y26)/365)/Y19)+0.5*Y32*Y32*(Y20-Y26)/365)/Y32/SQRT((Y20-Y26)/365),0,1,TRUE),0))*EXP(-1*Y29*(Y20-Y26)/365)</f>
        <v>0</v>
      </c>
      <c r="Z49" s="254">
        <f t="shared" ca="1" si="250"/>
        <v>-0.12667917660019157</v>
      </c>
      <c r="AA49" s="254">
        <f t="shared" ca="1" si="250"/>
        <v>-0.12442710526147494</v>
      </c>
      <c r="AB49" s="254">
        <f t="shared" ca="1" si="250"/>
        <v>-0.12191653874197073</v>
      </c>
      <c r="AC49" s="254">
        <f t="shared" ref="AC49:AD49" ca="1" si="260">IF(AC$25="C",(AC27+0.5)*EXP(AC28*(AC20-AC26)/365)*NORMDIST((LN((AC27+0.5)*EXP(AC28*(AC20-AC26)/365)/AC19)+0.5*AC32*AC32*(AC20-AC26)/365)/AC32/SQRT((AC20-AC26)/365),0,1,TRUE)-AC19*NORMDIST((LN((AC27+0.5)*EXP(AC28*(AC20-AC26)/365)/AC19)-0.5*AC32*AC32*(AC20-AC26)/365)/AC32/SQRT((AC20-AC26)/365),0,1,TRUE),IF(AC$25="P",-1*(AC27+0.5)*EXP(AC28*(AC20-AC26)/365)*NORMDIST((-1*LN((AC27+0.5)*EXP(AC28*(AC20-AC26)/365)/AC19)-0.5*AC32*AC32*(AC20-AC26)/365)/AC32/SQRT((AC20-AC26)/365),0,1,TRUE)+AC19*NORMDIST((-1*LN((AC27+0.5)*EXP(AC28*(AC20-AC26)/365)/AC19)+0.5*AC32*AC32*(AC20-AC26)/365)/AC32/SQRT((AC20-AC26)/365),0,1,TRUE),0))*EXP(-1*AC29*(AC20-AC26)/365)-IF(AC$25="C",(AC27-0.5)*EXP(AC28*(AC20-AC26)/365)*NORMDIST((LN((AC27-0.5)*EXP(AC28*(AC20-AC26)/365)/AC19)+0.5*AC32*AC32*(AC20-AC26)/365)/AC32/SQRT((AC20-AC26)/365),0,1,TRUE)-AC19*NORMDIST((LN((AC27-0.5)*EXP(AC28*(AC20-AC26)/365)/AC19)-0.5*AC32*AC32*(AC20-AC26)/365)/AC32/SQRT((AC20-AC26)/365),0,1,TRUE),IF(AC$25="P",-1*(AC27-0.5)*EXP(AC28*(AC20-AC26)/365)*NORMDIST((-1*LN((AC27-0.5)*EXP(AC28*(AC20-AC26)/365)/AC19)-0.5*AC32*AC32*(AC20-AC26)/365)/AC32/SQRT((AC20-AC26)/365),0,1,TRUE)+AC19*NORMDIST((-1*LN((AC27-0.5)*EXP(AC28*(AC20-AC26)/365)/AC19)+0.5*AC32*AC32*(AC20-AC26)/365)/AC32/SQRT((AC20-AC26)/365),0,1,TRUE),0))*EXP(-1*AC29*(AC20-AC26)/365)</f>
        <v>-0.11916379021931789</v>
      </c>
      <c r="AD49" s="254">
        <f t="shared" ca="1" si="260"/>
        <v>-0.11658624346637225</v>
      </c>
      <c r="AE49" s="254">
        <f t="shared" ref="AE49:AF49" ca="1" si="261">IF(AE$25="C",(AE27+0.5)*EXP(AE28*(AE20-AE26)/365)*NORMDIST((LN((AE27+0.5)*EXP(AE28*(AE20-AE26)/365)/AE19)+0.5*AE32*AE32*(AE20-AE26)/365)/AE32/SQRT((AE20-AE26)/365),0,1,TRUE)-AE19*NORMDIST((LN((AE27+0.5)*EXP(AE28*(AE20-AE26)/365)/AE19)-0.5*AE32*AE32*(AE20-AE26)/365)/AE32/SQRT((AE20-AE26)/365),0,1,TRUE),IF(AE$25="P",-1*(AE27+0.5)*EXP(AE28*(AE20-AE26)/365)*NORMDIST((-1*LN((AE27+0.5)*EXP(AE28*(AE20-AE26)/365)/AE19)-0.5*AE32*AE32*(AE20-AE26)/365)/AE32/SQRT((AE20-AE26)/365),0,1,TRUE)+AE19*NORMDIST((-1*LN((AE27+0.5)*EXP(AE28*(AE20-AE26)/365)/AE19)+0.5*AE32*AE32*(AE20-AE26)/365)/AE32/SQRT((AE20-AE26)/365),0,1,TRUE),0))*EXP(-1*AE29*(AE20-AE26)/365)-IF(AE$25="C",(AE27-0.5)*EXP(AE28*(AE20-AE26)/365)*NORMDIST((LN((AE27-0.5)*EXP(AE28*(AE20-AE26)/365)/AE19)+0.5*AE32*AE32*(AE20-AE26)/365)/AE32/SQRT((AE20-AE26)/365),0,1,TRUE)-AE19*NORMDIST((LN((AE27-0.5)*EXP(AE28*(AE20-AE26)/365)/AE19)-0.5*AE32*AE32*(AE20-AE26)/365)/AE32/SQRT((AE20-AE26)/365),0,1,TRUE),IF(AE$25="P",-1*(AE27-0.5)*EXP(AE28*(AE20-AE26)/365)*NORMDIST((-1*LN((AE27-0.5)*EXP(AE28*(AE20-AE26)/365)/AE19)-0.5*AE32*AE32*(AE20-AE26)/365)/AE32/SQRT((AE20-AE26)/365),0,1,TRUE)+AE19*NORMDIST((-1*LN((AE27-0.5)*EXP(AE28*(AE20-AE26)/365)/AE19)+0.5*AE32*AE32*(AE20-AE26)/365)/AE32/SQRT((AE20-AE26)/365),0,1,TRUE),0))*EXP(-1*AE29*(AE20-AE26)/365)</f>
        <v>-0.1142040323816218</v>
      </c>
      <c r="AF49" s="254">
        <f t="shared" si="261"/>
        <v>0</v>
      </c>
      <c r="AG49" s="254">
        <f t="shared" ref="AG49" si="262">IF(AG$25="C",(AG27+0.5)*EXP(AG28*(AG20-AG26)/365)*NORMDIST((LN((AG27+0.5)*EXP(AG28*(AG20-AG26)/365)/AG19)+0.5*AG32*AG32*(AG20-AG26)/365)/AG32/SQRT((AG20-AG26)/365),0,1,TRUE)-AG19*NORMDIST((LN((AG27+0.5)*EXP(AG28*(AG20-AG26)/365)/AG19)-0.5*AG32*AG32*(AG20-AG26)/365)/AG32/SQRT((AG20-AG26)/365),0,1,TRUE),IF(AG$25="P",-1*(AG27+0.5)*EXP(AG28*(AG20-AG26)/365)*NORMDIST((-1*LN((AG27+0.5)*EXP(AG28*(AG20-AG26)/365)/AG19)-0.5*AG32*AG32*(AG20-AG26)/365)/AG32/SQRT((AG20-AG26)/365),0,1,TRUE)+AG19*NORMDIST((-1*LN((AG27+0.5)*EXP(AG28*(AG20-AG26)/365)/AG19)+0.5*AG32*AG32*(AG20-AG26)/365)/AG32/SQRT((AG20-AG26)/365),0,1,TRUE),0))*EXP(-1*AG29*(AG20-AG26)/365)-IF(AG$25="C",(AG27-0.5)*EXP(AG28*(AG20-AG26)/365)*NORMDIST((LN((AG27-0.5)*EXP(AG28*(AG20-AG26)/365)/AG19)+0.5*AG32*AG32*(AG20-AG26)/365)/AG32/SQRT((AG20-AG26)/365),0,1,TRUE)-AG19*NORMDIST((LN((AG27-0.5)*EXP(AG28*(AG20-AG26)/365)/AG19)-0.5*AG32*AG32*(AG20-AG26)/365)/AG32/SQRT((AG20-AG26)/365),0,1,TRUE),IF(AG$25="P",-1*(AG27-0.5)*EXP(AG28*(AG20-AG26)/365)*NORMDIST((-1*LN((AG27-0.5)*EXP(AG28*(AG20-AG26)/365)/AG19)-0.5*AG32*AG32*(AG20-AG26)/365)/AG32/SQRT((AG20-AG26)/365),0,1,TRUE)+AG19*NORMDIST((-1*LN((AG27-0.5)*EXP(AG28*(AG20-AG26)/365)/AG19)+0.5*AG32*AG32*(AG20-AG26)/365)/AG32/SQRT((AG20-AG26)/365),0,1,TRUE),0))*EXP(-1*AG29*(AG20-AG26)/365)</f>
        <v>0</v>
      </c>
      <c r="AH49" s="254">
        <f t="shared" ca="1" si="250"/>
        <v>-0.12156805333142984</v>
      </c>
      <c r="AI49" s="254">
        <f t="shared" ca="1" si="250"/>
        <v>-0.11957388716973583</v>
      </c>
      <c r="AJ49" s="254">
        <f t="shared" ca="1" si="250"/>
        <v>-0.11732192113686324</v>
      </c>
      <c r="AK49" s="254">
        <f t="shared" ref="AK49:AL49" ca="1" si="263">IF(AK$25="C",(AK27+0.5)*EXP(AK28*(AK20-AK26)/365)*NORMDIST((LN((AK27+0.5)*EXP(AK28*(AK20-AK26)/365)/AK19)+0.5*AK32*AK32*(AK20-AK26)/365)/AK32/SQRT((AK20-AK26)/365),0,1,TRUE)-AK19*NORMDIST((LN((AK27+0.5)*EXP(AK28*(AK20-AK26)/365)/AK19)-0.5*AK32*AK32*(AK20-AK26)/365)/AK32/SQRT((AK20-AK26)/365),0,1,TRUE),IF(AK$25="P",-1*(AK27+0.5)*EXP(AK28*(AK20-AK26)/365)*NORMDIST((-1*LN((AK27+0.5)*EXP(AK28*(AK20-AK26)/365)/AK19)-0.5*AK32*AK32*(AK20-AK26)/365)/AK32/SQRT((AK20-AK26)/365),0,1,TRUE)+AK19*NORMDIST((-1*LN((AK27+0.5)*EXP(AK28*(AK20-AK26)/365)/AK19)+0.5*AK32*AK32*(AK20-AK26)/365)/AK32/SQRT((AK20-AK26)/365),0,1,TRUE),0))*EXP(-1*AK29*(AK20-AK26)/365)-IF(AK$25="C",(AK27-0.5)*EXP(AK28*(AK20-AK26)/365)*NORMDIST((LN((AK27-0.5)*EXP(AK28*(AK20-AK26)/365)/AK19)+0.5*AK32*AK32*(AK20-AK26)/365)/AK32/SQRT((AK20-AK26)/365),0,1,TRUE)-AK19*NORMDIST((LN((AK27-0.5)*EXP(AK28*(AK20-AK26)/365)/AK19)-0.5*AK32*AK32*(AK20-AK26)/365)/AK32/SQRT((AK20-AK26)/365),0,1,TRUE),IF(AK$25="P",-1*(AK27-0.5)*EXP(AK28*(AK20-AK26)/365)*NORMDIST((-1*LN((AK27-0.5)*EXP(AK28*(AK20-AK26)/365)/AK19)-0.5*AK32*AK32*(AK20-AK26)/365)/AK32/SQRT((AK20-AK26)/365),0,1,TRUE)+AK19*NORMDIST((-1*LN((AK27-0.5)*EXP(AK28*(AK20-AK26)/365)/AK19)+0.5*AK32*AK32*(AK20-AK26)/365)/AK32/SQRT((AK20-AK26)/365),0,1,TRUE),0))*EXP(-1*AK29*(AK20-AK26)/365)</f>
        <v>-0.11482619211346901</v>
      </c>
      <c r="AL49" s="254">
        <f t="shared" ca="1" si="263"/>
        <v>-0.11246956912873429</v>
      </c>
      <c r="AM49" s="254">
        <f t="shared" ref="AM49:AN49" ca="1" si="264">IF(AM$25="C",(AM27+0.5)*EXP(AM28*(AM20-AM26)/365)*NORMDIST((LN((AM27+0.5)*EXP(AM28*(AM20-AM26)/365)/AM19)+0.5*AM32*AM32*(AM20-AM26)/365)/AM32/SQRT((AM20-AM26)/365),0,1,TRUE)-AM19*NORMDIST((LN((AM27+0.5)*EXP(AM28*(AM20-AM26)/365)/AM19)-0.5*AM32*AM32*(AM20-AM26)/365)/AM32/SQRT((AM20-AM26)/365),0,1,TRUE),IF(AM$25="P",-1*(AM27+0.5)*EXP(AM28*(AM20-AM26)/365)*NORMDIST((-1*LN((AM27+0.5)*EXP(AM28*(AM20-AM26)/365)/AM19)-0.5*AM32*AM32*(AM20-AM26)/365)/AM32/SQRT((AM20-AM26)/365),0,1,TRUE)+AM19*NORMDIST((-1*LN((AM27+0.5)*EXP(AM28*(AM20-AM26)/365)/AM19)+0.5*AM32*AM32*(AM20-AM26)/365)/AM32/SQRT((AM20-AM26)/365),0,1,TRUE),0))*EXP(-1*AM29*(AM20-AM26)/365)-IF(AM$25="C",(AM27-0.5)*EXP(AM28*(AM20-AM26)/365)*NORMDIST((LN((AM27-0.5)*EXP(AM28*(AM20-AM26)/365)/AM19)+0.5*AM32*AM32*(AM20-AM26)/365)/AM32/SQRT((AM20-AM26)/365),0,1,TRUE)-AM19*NORMDIST((LN((AM27-0.5)*EXP(AM28*(AM20-AM26)/365)/AM19)-0.5*AM32*AM32*(AM20-AM26)/365)/AM32/SQRT((AM20-AM26)/365),0,1,TRUE),IF(AM$25="P",-1*(AM27-0.5)*EXP(AM28*(AM20-AM26)/365)*NORMDIST((-1*LN((AM27-0.5)*EXP(AM28*(AM20-AM26)/365)/AM19)-0.5*AM32*AM32*(AM20-AM26)/365)/AM32/SQRT((AM20-AM26)/365),0,1,TRUE)+AM19*NORMDIST((-1*LN((AM27-0.5)*EXP(AM28*(AM20-AM26)/365)/AM19)+0.5*AM32*AM32*(AM20-AM26)/365)/AM32/SQRT((AM20-AM26)/365),0,1,TRUE),0))*EXP(-1*AM29*(AM20-AM26)/365)</f>
        <v>-0.11027769914562668</v>
      </c>
      <c r="AN49" s="254">
        <f t="shared" si="264"/>
        <v>0</v>
      </c>
      <c r="AO49" s="254">
        <f t="shared" ref="AO49" si="265">IF(AO$25="C",(AO27+0.5)*EXP(AO28*(AO20-AO26)/365)*NORMDIST((LN((AO27+0.5)*EXP(AO28*(AO20-AO26)/365)/AO19)+0.5*AO32*AO32*(AO20-AO26)/365)/AO32/SQRT((AO20-AO26)/365),0,1,TRUE)-AO19*NORMDIST((LN((AO27+0.5)*EXP(AO28*(AO20-AO26)/365)/AO19)-0.5*AO32*AO32*(AO20-AO26)/365)/AO32/SQRT((AO20-AO26)/365),0,1,TRUE),IF(AO$25="P",-1*(AO27+0.5)*EXP(AO28*(AO20-AO26)/365)*NORMDIST((-1*LN((AO27+0.5)*EXP(AO28*(AO20-AO26)/365)/AO19)-0.5*AO32*AO32*(AO20-AO26)/365)/AO32/SQRT((AO20-AO26)/365),0,1,TRUE)+AO19*NORMDIST((-1*LN((AO27+0.5)*EXP(AO28*(AO20-AO26)/365)/AO19)+0.5*AO32*AO32*(AO20-AO26)/365)/AO32/SQRT((AO20-AO26)/365),0,1,TRUE),0))*EXP(-1*AO29*(AO20-AO26)/365)-IF(AO$25="C",(AO27-0.5)*EXP(AO28*(AO20-AO26)/365)*NORMDIST((LN((AO27-0.5)*EXP(AO28*(AO20-AO26)/365)/AO19)+0.5*AO32*AO32*(AO20-AO26)/365)/AO32/SQRT((AO20-AO26)/365),0,1,TRUE)-AO19*NORMDIST((LN((AO27-0.5)*EXP(AO28*(AO20-AO26)/365)/AO19)-0.5*AO32*AO32*(AO20-AO26)/365)/AO32/SQRT((AO20-AO26)/365),0,1,TRUE),IF(AO$25="P",-1*(AO27-0.5)*EXP(AO28*(AO20-AO26)/365)*NORMDIST((-1*LN((AO27-0.5)*EXP(AO28*(AO20-AO26)/365)/AO19)-0.5*AO32*AO32*(AO20-AO26)/365)/AO32/SQRT((AO20-AO26)/365),0,1,TRUE)+AO19*NORMDIST((-1*LN((AO27-0.5)*EXP(AO28*(AO20-AO26)/365)/AO19)+0.5*AO32*AO32*(AO20-AO26)/365)/AO32/SQRT((AO20-AO26)/365),0,1,TRUE),0))*EXP(-1*AO29*(AO20-AO26)/365)</f>
        <v>0</v>
      </c>
      <c r="AP49" s="254">
        <f t="shared" ref="AP49:AU49" ca="1" si="266">IF(AP$25="C",(AP27+0.5)*EXP(AP28*(AP20-AP26)/365)*NORMDIST((LN((AP27+0.5)*EXP(AP28*(AP20-AP26)/365)/AP19)+0.5*AP32*AP32*(AP20-AP26)/365)/AP32/SQRT((AP20-AP26)/365),0,1,TRUE)-AP19*NORMDIST((LN((AP27+0.5)*EXP(AP28*(AP20-AP26)/365)/AP19)-0.5*AP32*AP32*(AP20-AP26)/365)/AP32/SQRT((AP20-AP26)/365),0,1,TRUE),IF(AP$25="P",-1*(AP27+0.5)*EXP(AP28*(AP20-AP26)/365)*NORMDIST((-1*LN((AP27+0.5)*EXP(AP28*(AP20-AP26)/365)/AP19)-0.5*AP32*AP32*(AP20-AP26)/365)/AP32/SQRT((AP20-AP26)/365),0,1,TRUE)+AP19*NORMDIST((-1*LN((AP27+0.5)*EXP(AP28*(AP20-AP26)/365)/AP19)+0.5*AP32*AP32*(AP20-AP26)/365)/AP32/SQRT((AP20-AP26)/365),0,1,TRUE),0))*EXP(-1*AP29*(AP20-AP26)/365)-IF(AP$25="C",(AP27-0.5)*EXP(AP28*(AP20-AP26)/365)*NORMDIST((LN((AP27-0.5)*EXP(AP28*(AP20-AP26)/365)/AP19)+0.5*AP32*AP32*(AP20-AP26)/365)/AP32/SQRT((AP20-AP26)/365),0,1,TRUE)-AP19*NORMDIST((LN((AP27-0.5)*EXP(AP28*(AP20-AP26)/365)/AP19)-0.5*AP32*AP32*(AP20-AP26)/365)/AP32/SQRT((AP20-AP26)/365),0,1,TRUE),IF(AP$25="P",-1*(AP27-0.5)*EXP(AP28*(AP20-AP26)/365)*NORMDIST((-1*LN((AP27-0.5)*EXP(AP28*(AP20-AP26)/365)/AP19)-0.5*AP32*AP32*(AP20-AP26)/365)/AP32/SQRT((AP20-AP26)/365),0,1,TRUE)+AP19*NORMDIST((-1*LN((AP27-0.5)*EXP(AP28*(AP20-AP26)/365)/AP19)+0.5*AP32*AP32*(AP20-AP26)/365)/AP32/SQRT((AP20-AP26)/365),0,1,TRUE),0))*EXP(-1*AP29*(AP20-AP26)/365)</f>
        <v>-6.5334363986721655E-2</v>
      </c>
      <c r="AQ49" s="254">
        <f t="shared" ca="1" si="266"/>
        <v>-6.5739405876684032E-2</v>
      </c>
      <c r="AR49" s="254">
        <f t="shared" ca="1" si="266"/>
        <v>-6.5944959946364179E-2</v>
      </c>
      <c r="AS49" s="254">
        <f t="shared" ca="1" si="266"/>
        <v>-6.5940488596652358E-2</v>
      </c>
      <c r="AT49" s="254">
        <f t="shared" ca="1" si="266"/>
        <v>-6.5762266760884813E-2</v>
      </c>
      <c r="AU49" s="254">
        <f t="shared" ca="1" si="266"/>
        <v>-6.5473561917315237E-2</v>
      </c>
      <c r="AV49" s="254">
        <f t="shared" ref="AV49:AW49" si="267">IF(AV$25="C",(AV27+0.5)*EXP(AV28*(AV20-AV26)/365)*NORMDIST((LN((AV27+0.5)*EXP(AV28*(AV20-AV26)/365)/AV19)+0.5*AV32*AV32*(AV20-AV26)/365)/AV32/SQRT((AV20-AV26)/365),0,1,TRUE)-AV19*NORMDIST((LN((AV27+0.5)*EXP(AV28*(AV20-AV26)/365)/AV19)-0.5*AV32*AV32*(AV20-AV26)/365)/AV32/SQRT((AV20-AV26)/365),0,1,TRUE),IF(AV$25="P",-1*(AV27+0.5)*EXP(AV28*(AV20-AV26)/365)*NORMDIST((-1*LN((AV27+0.5)*EXP(AV28*(AV20-AV26)/365)/AV19)-0.5*AV32*AV32*(AV20-AV26)/365)/AV32/SQRT((AV20-AV26)/365),0,1,TRUE)+AV19*NORMDIST((-1*LN((AV27+0.5)*EXP(AV28*(AV20-AV26)/365)/AV19)+0.5*AV32*AV32*(AV20-AV26)/365)/AV32/SQRT((AV20-AV26)/365),0,1,TRUE),0))*EXP(-1*AV29*(AV20-AV26)/365)-IF(AV$25="C",(AV27-0.5)*EXP(AV28*(AV20-AV26)/365)*NORMDIST((LN((AV27-0.5)*EXP(AV28*(AV20-AV26)/365)/AV19)+0.5*AV32*AV32*(AV20-AV26)/365)/AV32/SQRT((AV20-AV26)/365),0,1,TRUE)-AV19*NORMDIST((LN((AV27-0.5)*EXP(AV28*(AV20-AV26)/365)/AV19)-0.5*AV32*AV32*(AV20-AV26)/365)/AV32/SQRT((AV20-AV26)/365),0,1,TRUE),IF(AV$25="P",-1*(AV27-0.5)*EXP(AV28*(AV20-AV26)/365)*NORMDIST((-1*LN((AV27-0.5)*EXP(AV28*(AV20-AV26)/365)/AV19)-0.5*AV32*AV32*(AV20-AV26)/365)/AV32/SQRT((AV20-AV26)/365),0,1,TRUE)+AV19*NORMDIST((-1*LN((AV27-0.5)*EXP(AV28*(AV20-AV26)/365)/AV19)+0.5*AV32*AV32*(AV20-AV26)/365)/AV32/SQRT((AV20-AV26)/365),0,1,TRUE),0))*EXP(-1*AV29*(AV20-AV26)/365)</f>
        <v>0</v>
      </c>
      <c r="AW49" s="254">
        <f t="shared" si="267"/>
        <v>0</v>
      </c>
      <c r="AX49" s="254">
        <f t="shared" ref="AX49:CI49" ca="1" si="268">IF(AX$25="C",(AX27+0.5)*EXP(AX28*(AX20-AX26)/365)*NORMDIST((LN((AX27+0.5)*EXP(AX28*(AX20-AX26)/365)/AX19)+0.5*AX32*AX32*(AX20-AX26)/365)/AX32/SQRT((AX20-AX26)/365),0,1,TRUE)-AX19*NORMDIST((LN((AX27+0.5)*EXP(AX28*(AX20-AX26)/365)/AX19)-0.5*AX32*AX32*(AX20-AX26)/365)/AX32/SQRT((AX20-AX26)/365),0,1,TRUE),IF(AX$25="P",-1*(AX27+0.5)*EXP(AX28*(AX20-AX26)/365)*NORMDIST((-1*LN((AX27+0.5)*EXP(AX28*(AX20-AX26)/365)/AX19)-0.5*AX32*AX32*(AX20-AX26)/365)/AX32/SQRT((AX20-AX26)/365),0,1,TRUE)+AX19*NORMDIST((-1*LN((AX27+0.5)*EXP(AX28*(AX20-AX26)/365)/AX19)+0.5*AX32*AX32*(AX20-AX26)/365)/AX32/SQRT((AX20-AX26)/365),0,1,TRUE),0))*EXP(-1*AX29*(AX20-AX26)/365)-IF(AX$25="C",(AX27-0.5)*EXP(AX28*(AX20-AX26)/365)*NORMDIST((LN((AX27-0.5)*EXP(AX28*(AX20-AX26)/365)/AX19)+0.5*AX32*AX32*(AX20-AX26)/365)/AX32/SQRT((AX20-AX26)/365),0,1,TRUE)-AX19*NORMDIST((LN((AX27-0.5)*EXP(AX28*(AX20-AX26)/365)/AX19)-0.5*AX32*AX32*(AX20-AX26)/365)/AX32/SQRT((AX20-AX26)/365),0,1,TRUE),IF(AX$25="P",-1*(AX27-0.5)*EXP(AX28*(AX20-AX26)/365)*NORMDIST((-1*LN((AX27-0.5)*EXP(AX28*(AX20-AX26)/365)/AX19)-0.5*AX32*AX32*(AX20-AX26)/365)/AX32/SQRT((AX20-AX26)/365),0,1,TRUE)+AX19*NORMDIST((-1*LN((AX27-0.5)*EXP(AX28*(AX20-AX26)/365)/AX19)+0.5*AX32*AX32*(AX20-AX26)/365)/AX32/SQRT((AX20-AX26)/365),0,1,TRUE),0))*EXP(-1*AX29*(AX20-AX26)/365)</f>
        <v>-0.61761614151510003</v>
      </c>
      <c r="AY49" s="254">
        <f t="shared" ca="1" si="268"/>
        <v>-0.59209429874863417</v>
      </c>
      <c r="AZ49" s="254">
        <f t="shared" ca="1" si="268"/>
        <v>-0.56583086870341504</v>
      </c>
      <c r="BA49" s="254">
        <f t="shared" ca="1" si="268"/>
        <v>-0.53907820379572513</v>
      </c>
      <c r="BB49" s="254">
        <f t="shared" ca="1" si="268"/>
        <v>-0.51557895609767002</v>
      </c>
      <c r="BC49" s="254">
        <f t="shared" ca="1" si="268"/>
        <v>-0.49496908739638457</v>
      </c>
      <c r="BD49" s="254">
        <f t="shared" ref="BD49:BE49" si="269">IF(BD$25="C",(BD27+0.5)*EXP(BD28*(BD20-BD26)/365)*NORMDIST((LN((BD27+0.5)*EXP(BD28*(BD20-BD26)/365)/BD19)+0.5*BD32*BD32*(BD20-BD26)/365)/BD32/SQRT((BD20-BD26)/365),0,1,TRUE)-BD19*NORMDIST((LN((BD27+0.5)*EXP(BD28*(BD20-BD26)/365)/BD19)-0.5*BD32*BD32*(BD20-BD26)/365)/BD32/SQRT((BD20-BD26)/365),0,1,TRUE),IF(BD$25="P",-1*(BD27+0.5)*EXP(BD28*(BD20-BD26)/365)*NORMDIST((-1*LN((BD27+0.5)*EXP(BD28*(BD20-BD26)/365)/BD19)-0.5*BD32*BD32*(BD20-BD26)/365)/BD32/SQRT((BD20-BD26)/365),0,1,TRUE)+BD19*NORMDIST((-1*LN((BD27+0.5)*EXP(BD28*(BD20-BD26)/365)/BD19)+0.5*BD32*BD32*(BD20-BD26)/365)/BD32/SQRT((BD20-BD26)/365),0,1,TRUE),0))*EXP(-1*BD29*(BD20-BD26)/365)-IF(BD$25="C",(BD27-0.5)*EXP(BD28*(BD20-BD26)/365)*NORMDIST((LN((BD27-0.5)*EXP(BD28*(BD20-BD26)/365)/BD19)+0.5*BD32*BD32*(BD20-BD26)/365)/BD32/SQRT((BD20-BD26)/365),0,1,TRUE)-BD19*NORMDIST((LN((BD27-0.5)*EXP(BD28*(BD20-BD26)/365)/BD19)-0.5*BD32*BD32*(BD20-BD26)/365)/BD32/SQRT((BD20-BD26)/365),0,1,TRUE),IF(BD$25="P",-1*(BD27-0.5)*EXP(BD28*(BD20-BD26)/365)*NORMDIST((-1*LN((BD27-0.5)*EXP(BD28*(BD20-BD26)/365)/BD19)-0.5*BD32*BD32*(BD20-BD26)/365)/BD32/SQRT((BD20-BD26)/365),0,1,TRUE)+BD19*NORMDIST((-1*LN((BD27-0.5)*EXP(BD28*(BD20-BD26)/365)/BD19)+0.5*BD32*BD32*(BD20-BD26)/365)/BD32/SQRT((BD20-BD26)/365),0,1,TRUE),0))*EXP(-1*BD29*(BD20-BD26)/365)</f>
        <v>0</v>
      </c>
      <c r="BE49" s="254">
        <f t="shared" si="269"/>
        <v>0</v>
      </c>
      <c r="BF49" s="254">
        <f t="shared" ca="1" si="268"/>
        <v>-0.50434077491263452</v>
      </c>
      <c r="BG49" s="254">
        <f t="shared" ca="1" si="268"/>
        <v>-0.48202283495811571</v>
      </c>
      <c r="BH49" s="254">
        <f t="shared" ca="1" si="268"/>
        <v>-0.45938064974143344</v>
      </c>
      <c r="BI49" s="254">
        <f t="shared" ca="1" si="268"/>
        <v>-0.43661484731819655</v>
      </c>
      <c r="BJ49" s="254">
        <f t="shared" ca="1" si="268"/>
        <v>-0.41683753476354468</v>
      </c>
      <c r="BK49" s="254">
        <f t="shared" ca="1" si="268"/>
        <v>-0.39964333577154321</v>
      </c>
      <c r="BL49" s="254">
        <f t="shared" ref="BL49:BM49" si="270">IF(BL$25="C",(BL27+0.5)*EXP(BL28*(BL20-BL26)/365)*NORMDIST((LN((BL27+0.5)*EXP(BL28*(BL20-BL26)/365)/BL19)+0.5*BL32*BL32*(BL20-BL26)/365)/BL32/SQRT((BL20-BL26)/365),0,1,TRUE)-BL19*NORMDIST((LN((BL27+0.5)*EXP(BL28*(BL20-BL26)/365)/BL19)-0.5*BL32*BL32*(BL20-BL26)/365)/BL32/SQRT((BL20-BL26)/365),0,1,TRUE),IF(BL$25="P",-1*(BL27+0.5)*EXP(BL28*(BL20-BL26)/365)*NORMDIST((-1*LN((BL27+0.5)*EXP(BL28*(BL20-BL26)/365)/BL19)-0.5*BL32*BL32*(BL20-BL26)/365)/BL32/SQRT((BL20-BL26)/365),0,1,TRUE)+BL19*NORMDIST((-1*LN((BL27+0.5)*EXP(BL28*(BL20-BL26)/365)/BL19)+0.5*BL32*BL32*(BL20-BL26)/365)/BL32/SQRT((BL20-BL26)/365),0,1,TRUE),0))*EXP(-1*BL29*(BL20-BL26)/365)-IF(BL$25="C",(BL27-0.5)*EXP(BL28*(BL20-BL26)/365)*NORMDIST((LN((BL27-0.5)*EXP(BL28*(BL20-BL26)/365)/BL19)+0.5*BL32*BL32*(BL20-BL26)/365)/BL32/SQRT((BL20-BL26)/365),0,1,TRUE)-BL19*NORMDIST((LN((BL27-0.5)*EXP(BL28*(BL20-BL26)/365)/BL19)-0.5*BL32*BL32*(BL20-BL26)/365)/BL32/SQRT((BL20-BL26)/365),0,1,TRUE),IF(BL$25="P",-1*(BL27-0.5)*EXP(BL28*(BL20-BL26)/365)*NORMDIST((-1*LN((BL27-0.5)*EXP(BL28*(BL20-BL26)/365)/BL19)-0.5*BL32*BL32*(BL20-BL26)/365)/BL32/SQRT((BL20-BL26)/365),0,1,TRUE)+BL19*NORMDIST((-1*LN((BL27-0.5)*EXP(BL28*(BL20-BL26)/365)/BL19)+0.5*BL32*BL32*(BL20-BL26)/365)/BL32/SQRT((BL20-BL26)/365),0,1,TRUE),0))*EXP(-1*BL29*(BL20-BL26)/365)</f>
        <v>0</v>
      </c>
      <c r="BM49" s="254">
        <f t="shared" si="270"/>
        <v>0</v>
      </c>
      <c r="BN49" s="254">
        <f t="shared" ca="1" si="268"/>
        <v>-0.48107987407092878</v>
      </c>
      <c r="BO49" s="254">
        <f t="shared" ca="1" si="268"/>
        <v>-0.45968102258484578</v>
      </c>
      <c r="BP49" s="254">
        <f t="shared" ca="1" si="268"/>
        <v>-0.43801221616195107</v>
      </c>
      <c r="BQ49" s="254">
        <f t="shared" ca="1" si="268"/>
        <v>-0.41626169254777778</v>
      </c>
      <c r="BR49" s="254">
        <f t="shared" ca="1" si="268"/>
        <v>-0.39739253210609604</v>
      </c>
      <c r="BS49" s="254">
        <f t="shared" ca="1" si="268"/>
        <v>-0.38100527094866266</v>
      </c>
      <c r="BT49" s="254">
        <f t="shared" ref="BT49:BU49" si="271">IF(BT$25="C",(BT27+0.5)*EXP(BT28*(BT20-BT26)/365)*NORMDIST((LN((BT27+0.5)*EXP(BT28*(BT20-BT26)/365)/BT19)+0.5*BT32*BT32*(BT20-BT26)/365)/BT32/SQRT((BT20-BT26)/365),0,1,TRUE)-BT19*NORMDIST((LN((BT27+0.5)*EXP(BT28*(BT20-BT26)/365)/BT19)-0.5*BT32*BT32*(BT20-BT26)/365)/BT32/SQRT((BT20-BT26)/365),0,1,TRUE),IF(BT$25="P",-1*(BT27+0.5)*EXP(BT28*(BT20-BT26)/365)*NORMDIST((-1*LN((BT27+0.5)*EXP(BT28*(BT20-BT26)/365)/BT19)-0.5*BT32*BT32*(BT20-BT26)/365)/BT32/SQRT((BT20-BT26)/365),0,1,TRUE)+BT19*NORMDIST((-1*LN((BT27+0.5)*EXP(BT28*(BT20-BT26)/365)/BT19)+0.5*BT32*BT32*(BT20-BT26)/365)/BT32/SQRT((BT20-BT26)/365),0,1,TRUE),0))*EXP(-1*BT29*(BT20-BT26)/365)-IF(BT$25="C",(BT27-0.5)*EXP(BT28*(BT20-BT26)/365)*NORMDIST((LN((BT27-0.5)*EXP(BT28*(BT20-BT26)/365)/BT19)+0.5*BT32*BT32*(BT20-BT26)/365)/BT32/SQRT((BT20-BT26)/365),0,1,TRUE)-BT19*NORMDIST((LN((BT27-0.5)*EXP(BT28*(BT20-BT26)/365)/BT19)-0.5*BT32*BT32*(BT20-BT26)/365)/BT32/SQRT((BT20-BT26)/365),0,1,TRUE),IF(BT$25="P",-1*(BT27-0.5)*EXP(BT28*(BT20-BT26)/365)*NORMDIST((-1*LN((BT27-0.5)*EXP(BT28*(BT20-BT26)/365)/BT19)-0.5*BT32*BT32*(BT20-BT26)/365)/BT32/SQRT((BT20-BT26)/365),0,1,TRUE)+BT19*NORMDIST((-1*LN((BT27-0.5)*EXP(BT28*(BT20-BT26)/365)/BT19)+0.5*BT32*BT32*(BT20-BT26)/365)/BT32/SQRT((BT20-BT26)/365),0,1,TRUE),0))*EXP(-1*BT29*(BT20-BT26)/365)</f>
        <v>0</v>
      </c>
      <c r="BU49" s="254">
        <f t="shared" si="271"/>
        <v>0</v>
      </c>
      <c r="BV49" s="254">
        <f t="shared" ca="1" si="268"/>
        <v>-0.12667917660019157</v>
      </c>
      <c r="BW49" s="254">
        <f t="shared" ca="1" si="268"/>
        <v>-0.12442710526147494</v>
      </c>
      <c r="BX49" s="254">
        <f t="shared" ca="1" si="268"/>
        <v>-0.12191653874197073</v>
      </c>
      <c r="BY49" s="254">
        <f t="shared" ca="1" si="268"/>
        <v>-0.11916379021931789</v>
      </c>
      <c r="BZ49" s="254">
        <f t="shared" ca="1" si="268"/>
        <v>-0.11658624346637225</v>
      </c>
      <c r="CA49" s="254">
        <f t="shared" ca="1" si="268"/>
        <v>-0.1142040323816218</v>
      </c>
      <c r="CB49" s="254">
        <f t="shared" ref="CB49:CC49" si="272">IF(CB$25="C",(CB27+0.5)*EXP(CB28*(CB20-CB26)/365)*NORMDIST((LN((CB27+0.5)*EXP(CB28*(CB20-CB26)/365)/CB19)+0.5*CB32*CB32*(CB20-CB26)/365)/CB32/SQRT((CB20-CB26)/365),0,1,TRUE)-CB19*NORMDIST((LN((CB27+0.5)*EXP(CB28*(CB20-CB26)/365)/CB19)-0.5*CB32*CB32*(CB20-CB26)/365)/CB32/SQRT((CB20-CB26)/365),0,1,TRUE),IF(CB$25="P",-1*(CB27+0.5)*EXP(CB28*(CB20-CB26)/365)*NORMDIST((-1*LN((CB27+0.5)*EXP(CB28*(CB20-CB26)/365)/CB19)-0.5*CB32*CB32*(CB20-CB26)/365)/CB32/SQRT((CB20-CB26)/365),0,1,TRUE)+CB19*NORMDIST((-1*LN((CB27+0.5)*EXP(CB28*(CB20-CB26)/365)/CB19)+0.5*CB32*CB32*(CB20-CB26)/365)/CB32/SQRT((CB20-CB26)/365),0,1,TRUE),0))*EXP(-1*CB29*(CB20-CB26)/365)-IF(CB$25="C",(CB27-0.5)*EXP(CB28*(CB20-CB26)/365)*NORMDIST((LN((CB27-0.5)*EXP(CB28*(CB20-CB26)/365)/CB19)+0.5*CB32*CB32*(CB20-CB26)/365)/CB32/SQRT((CB20-CB26)/365),0,1,TRUE)-CB19*NORMDIST((LN((CB27-0.5)*EXP(CB28*(CB20-CB26)/365)/CB19)-0.5*CB32*CB32*(CB20-CB26)/365)/CB32/SQRT((CB20-CB26)/365),0,1,TRUE),IF(CB$25="P",-1*(CB27-0.5)*EXP(CB28*(CB20-CB26)/365)*NORMDIST((-1*LN((CB27-0.5)*EXP(CB28*(CB20-CB26)/365)/CB19)-0.5*CB32*CB32*(CB20-CB26)/365)/CB32/SQRT((CB20-CB26)/365),0,1,TRUE)+CB19*NORMDIST((-1*LN((CB27-0.5)*EXP(CB28*(CB20-CB26)/365)/CB19)+0.5*CB32*CB32*(CB20-CB26)/365)/CB32/SQRT((CB20-CB26)/365),0,1,TRUE),0))*EXP(-1*CB29*(CB20-CB26)/365)</f>
        <v>0</v>
      </c>
      <c r="CC49" s="254">
        <f t="shared" si="272"/>
        <v>0</v>
      </c>
      <c r="CD49" s="254">
        <f t="shared" ca="1" si="268"/>
        <v>-0.12156805333142984</v>
      </c>
      <c r="CE49" s="254">
        <f t="shared" ca="1" si="268"/>
        <v>-0.11957388716973583</v>
      </c>
      <c r="CF49" s="254">
        <f t="shared" ca="1" si="268"/>
        <v>-0.11732192113686324</v>
      </c>
      <c r="CG49" s="254">
        <f t="shared" ca="1" si="268"/>
        <v>-0.11482619211346901</v>
      </c>
      <c r="CH49" s="254">
        <f t="shared" ca="1" si="268"/>
        <v>-0.11246956912873429</v>
      </c>
      <c r="CI49" s="254">
        <f t="shared" ca="1" si="268"/>
        <v>-0.11027769914562668</v>
      </c>
      <c r="CJ49" s="254">
        <f t="shared" ref="CJ49:CK49" si="273">IF(CJ$25="C",(CJ27+0.5)*EXP(CJ28*(CJ20-CJ26)/365)*NORMDIST((LN((CJ27+0.5)*EXP(CJ28*(CJ20-CJ26)/365)/CJ19)+0.5*CJ32*CJ32*(CJ20-CJ26)/365)/CJ32/SQRT((CJ20-CJ26)/365),0,1,TRUE)-CJ19*NORMDIST((LN((CJ27+0.5)*EXP(CJ28*(CJ20-CJ26)/365)/CJ19)-0.5*CJ32*CJ32*(CJ20-CJ26)/365)/CJ32/SQRT((CJ20-CJ26)/365),0,1,TRUE),IF(CJ$25="P",-1*(CJ27+0.5)*EXP(CJ28*(CJ20-CJ26)/365)*NORMDIST((-1*LN((CJ27+0.5)*EXP(CJ28*(CJ20-CJ26)/365)/CJ19)-0.5*CJ32*CJ32*(CJ20-CJ26)/365)/CJ32/SQRT((CJ20-CJ26)/365),0,1,TRUE)+CJ19*NORMDIST((-1*LN((CJ27+0.5)*EXP(CJ28*(CJ20-CJ26)/365)/CJ19)+0.5*CJ32*CJ32*(CJ20-CJ26)/365)/CJ32/SQRT((CJ20-CJ26)/365),0,1,TRUE),0))*EXP(-1*CJ29*(CJ20-CJ26)/365)-IF(CJ$25="C",(CJ27-0.5)*EXP(CJ28*(CJ20-CJ26)/365)*NORMDIST((LN((CJ27-0.5)*EXP(CJ28*(CJ20-CJ26)/365)/CJ19)+0.5*CJ32*CJ32*(CJ20-CJ26)/365)/CJ32/SQRT((CJ20-CJ26)/365),0,1,TRUE)-CJ19*NORMDIST((LN((CJ27-0.5)*EXP(CJ28*(CJ20-CJ26)/365)/CJ19)-0.5*CJ32*CJ32*(CJ20-CJ26)/365)/CJ32/SQRT((CJ20-CJ26)/365),0,1,TRUE),IF(CJ$25="P",-1*(CJ27-0.5)*EXP(CJ28*(CJ20-CJ26)/365)*NORMDIST((-1*LN((CJ27-0.5)*EXP(CJ28*(CJ20-CJ26)/365)/CJ19)-0.5*CJ32*CJ32*(CJ20-CJ26)/365)/CJ32/SQRT((CJ20-CJ26)/365),0,1,TRUE)+CJ19*NORMDIST((-1*LN((CJ27-0.5)*EXP(CJ28*(CJ20-CJ26)/365)/CJ19)+0.5*CJ32*CJ32*(CJ20-CJ26)/365)/CJ32/SQRT((CJ20-CJ26)/365),0,1,TRUE),0))*EXP(-1*CJ29*(CJ20-CJ26)/365)</f>
        <v>0</v>
      </c>
      <c r="CK49" s="254">
        <f t="shared" si="273"/>
        <v>0</v>
      </c>
      <c r="CL49" s="254">
        <f t="shared" ref="CL49:CQ49" ca="1" si="274">IF(CL$25="C",(CL27+0.5)*EXP(CL28*(CL20-CL26)/365)*NORMDIST((LN((CL27+0.5)*EXP(CL28*(CL20-CL26)/365)/CL19)+0.5*CL32*CL32*(CL20-CL26)/365)/CL32/SQRT((CL20-CL26)/365),0,1,TRUE)-CL19*NORMDIST((LN((CL27+0.5)*EXP(CL28*(CL20-CL26)/365)/CL19)-0.5*CL32*CL32*(CL20-CL26)/365)/CL32/SQRT((CL20-CL26)/365),0,1,TRUE),IF(CL$25="P",-1*(CL27+0.5)*EXP(CL28*(CL20-CL26)/365)*NORMDIST((-1*LN((CL27+0.5)*EXP(CL28*(CL20-CL26)/365)/CL19)-0.5*CL32*CL32*(CL20-CL26)/365)/CL32/SQRT((CL20-CL26)/365),0,1,TRUE)+CL19*NORMDIST((-1*LN((CL27+0.5)*EXP(CL28*(CL20-CL26)/365)/CL19)+0.5*CL32*CL32*(CL20-CL26)/365)/CL32/SQRT((CL20-CL26)/365),0,1,TRUE),0))*EXP(-1*CL29*(CL20-CL26)/365)-IF(CL$25="C",(CL27-0.5)*EXP(CL28*(CL20-CL26)/365)*NORMDIST((LN((CL27-0.5)*EXP(CL28*(CL20-CL26)/365)/CL19)+0.5*CL32*CL32*(CL20-CL26)/365)/CL32/SQRT((CL20-CL26)/365),0,1,TRUE)-CL19*NORMDIST((LN((CL27-0.5)*EXP(CL28*(CL20-CL26)/365)/CL19)-0.5*CL32*CL32*(CL20-CL26)/365)/CL32/SQRT((CL20-CL26)/365),0,1,TRUE),IF(CL$25="P",-1*(CL27-0.5)*EXP(CL28*(CL20-CL26)/365)*NORMDIST((-1*LN((CL27-0.5)*EXP(CL28*(CL20-CL26)/365)/CL19)-0.5*CL32*CL32*(CL20-CL26)/365)/CL32/SQRT((CL20-CL26)/365),0,1,TRUE)+CL19*NORMDIST((-1*LN((CL27-0.5)*EXP(CL28*(CL20-CL26)/365)/CL19)+0.5*CL32*CL32*(CL20-CL26)/365)/CL32/SQRT((CL20-CL26)/365),0,1,TRUE),0))*EXP(-1*CL29*(CL20-CL26)/365)</f>
        <v>-6.5334363986721655E-2</v>
      </c>
      <c r="CM49" s="254">
        <f t="shared" ca="1" si="274"/>
        <v>-6.5739405876684032E-2</v>
      </c>
      <c r="CN49" s="254">
        <f t="shared" ca="1" si="274"/>
        <v>-6.5944959946364179E-2</v>
      </c>
      <c r="CO49" s="254">
        <f t="shared" ca="1" si="274"/>
        <v>-6.5940488596652358E-2</v>
      </c>
      <c r="CP49" s="254">
        <f t="shared" ca="1" si="274"/>
        <v>-6.5762266760884813E-2</v>
      </c>
      <c r="CQ49" s="254">
        <f t="shared" ca="1" si="274"/>
        <v>-6.5473561917315237E-2</v>
      </c>
      <c r="CR49" s="254">
        <f t="shared" ref="CR49:CS49" si="275">IF(CR$25="C",(CR27+0.5)*EXP(CR28*(CR20-CR26)/365)*NORMDIST((LN((CR27+0.5)*EXP(CR28*(CR20-CR26)/365)/CR19)+0.5*CR32*CR32*(CR20-CR26)/365)/CR32/SQRT((CR20-CR26)/365),0,1,TRUE)-CR19*NORMDIST((LN((CR27+0.5)*EXP(CR28*(CR20-CR26)/365)/CR19)-0.5*CR32*CR32*(CR20-CR26)/365)/CR32/SQRT((CR20-CR26)/365),0,1,TRUE),IF(CR$25="P",-1*(CR27+0.5)*EXP(CR28*(CR20-CR26)/365)*NORMDIST((-1*LN((CR27+0.5)*EXP(CR28*(CR20-CR26)/365)/CR19)-0.5*CR32*CR32*(CR20-CR26)/365)/CR32/SQRT((CR20-CR26)/365),0,1,TRUE)+CR19*NORMDIST((-1*LN((CR27+0.5)*EXP(CR28*(CR20-CR26)/365)/CR19)+0.5*CR32*CR32*(CR20-CR26)/365)/CR32/SQRT((CR20-CR26)/365),0,1,TRUE),0))*EXP(-1*CR29*(CR20-CR26)/365)-IF(CR$25="C",(CR27-0.5)*EXP(CR28*(CR20-CR26)/365)*NORMDIST((LN((CR27-0.5)*EXP(CR28*(CR20-CR26)/365)/CR19)+0.5*CR32*CR32*(CR20-CR26)/365)/CR32/SQRT((CR20-CR26)/365),0,1,TRUE)-CR19*NORMDIST((LN((CR27-0.5)*EXP(CR28*(CR20-CR26)/365)/CR19)-0.5*CR32*CR32*(CR20-CR26)/365)/CR32/SQRT((CR20-CR26)/365),0,1,TRUE),IF(CR$25="P",-1*(CR27-0.5)*EXP(CR28*(CR20-CR26)/365)*NORMDIST((-1*LN((CR27-0.5)*EXP(CR28*(CR20-CR26)/365)/CR19)-0.5*CR32*CR32*(CR20-CR26)/365)/CR32/SQRT((CR20-CR26)/365),0,1,TRUE)+CR19*NORMDIST((-1*LN((CR27-0.5)*EXP(CR28*(CR20-CR26)/365)/CR19)+0.5*CR32*CR32*(CR20-CR26)/365)/CR32/SQRT((CR20-CR26)/365),0,1,TRUE),0))*EXP(-1*CR29*(CR20-CR26)/365)</f>
        <v>0</v>
      </c>
      <c r="CS49" s="254">
        <f t="shared" si="275"/>
        <v>0</v>
      </c>
    </row>
    <row r="50" spans="1:97">
      <c r="A50" t="s">
        <v>31</v>
      </c>
      <c r="B50" s="253">
        <f t="shared" ref="B50:AJ50" ca="1" si="276">IF(B$25="C",(B27+1)*EXP(B28*(B20-B26)/365)*NORMDIST((LN((B27+1)*EXP(B28*(B20-B26)/365)/B19)+0.5*B32*B32*(B20-B26)/365)/B32/SQRT((B20-B26)/365),0,1,TRUE)-B19*NORMDIST((LN((B27+1)*EXP(B28*(B20-B26)/365)/B19)-0.5*B32*B32*(B20-B26)/365)/B32/SQRT((B20-B26)/365),0,1,TRUE),IF(B$25="P",-1*(B27+1)*EXP(B28*(B20-B26)/365)*NORMDIST((-1*LN((B27+1)*EXP(B28*(B20-B26)/365)/B19)-0.5*B32*B32*(B20-B26)/365)/B32/SQRT((B20-B26)/365),0,1,TRUE)+B19*NORMDIST((-1*LN((B27+1)*EXP(B28*(B20-B26)/365)/B19)+0.5*B32*B32*(B20-B26)/365)/B32/SQRT((B20-B26)/365),0,1,TRUE),0))*EXP(-1*B29*(B20-B26)/365)+IF(B$25="C",(B27-1)*EXP(B28*(B20-B26)/365)*NORMDIST((LN((B27-1)*EXP(B28*(B20-B26)/365)/B19)+0.5*B32*B32*(B20-B26)/365)/B32/SQRT((B20-B26)/365),0,1,TRUE)-B19*NORMDIST((LN((B27-1)*EXP(B28*(B20-B26)/365)/B19)-0.5*B32*B32*(B20-B26)/365)/B32/SQRT((B20-B26)/365),0,1,TRUE),IF(B$25="P",-1*(B27-1)*EXP(B28*(B20-B26)/365)*NORMDIST((-1*LN((B27-1)*EXP(B28*(B20-B26)/365)/B19)-0.5*B32*B32*(B20-B26)/365)/B32/SQRT((B20-B26)/365),0,1,TRUE)+B19*NORMDIST((-1*LN((B27-1)*EXP(B28*(B20-B26)/365)/B19)+0.5*B32*B32*(B20-B26)/365)/B32/SQRT((B20-B26)/365),0,1,TRUE),0))*EXP(-1*B29*(B20-B26)/365)-2*IF(B$25="C",B27*EXP(B28*(B20-B26)/365)*NORMDIST((LN(B27*EXP(B28*(B20-B26)/365)/B19)+0.5*B32*B32*(B20-B26)/365)/B32/SQRT((B20-B26)/365),0,1,TRUE)-B19*NORMDIST((LN(B27*EXP(B28*(B20-B26)/365)/B19)-0.5*B32*B32*(B20-B26)/365)/B32/SQRT((B20-B26)/365),0,1,TRUE),IF(B$25="P",-1*B27*EXP(B28*(B20-B26)/365)*NORMDIST((-1*LN(B27*EXP(B28*(B20-B26)/365)/B19)-0.5*B32*B32*(B20-B26)/365)/B32/SQRT((B20-B26)/365),0,1,TRUE)+B19*NORMDIST((-1*LN(B27*EXP(B28*(B20-B26)/365)/B19)+0.5*B32*B32*(B20-B26)/365)/B32/SQRT((B20-B26)/365),0,1,TRUE),0))*EXP(-1*B29*(B20-B26)/365)</f>
        <v>1.7841870430856943E-5</v>
      </c>
      <c r="C50" s="253">
        <f t="shared" ca="1" si="276"/>
        <v>1.761599924066104E-5</v>
      </c>
      <c r="D50" s="253">
        <f t="shared" ca="1" si="276"/>
        <v>1.7307957023149356E-5</v>
      </c>
      <c r="E50" s="253">
        <f t="shared" ref="E50:F50" ca="1" si="277">IF(E$25="C",(E27+1)*EXP(E28*(E20-E26)/365)*NORMDIST((LN((E27+1)*EXP(E28*(E20-E26)/365)/E19)+0.5*E32*E32*(E20-E26)/365)/E32/SQRT((E20-E26)/365),0,1,TRUE)-E19*NORMDIST((LN((E27+1)*EXP(E28*(E20-E26)/365)/E19)-0.5*E32*E32*(E20-E26)/365)/E32/SQRT((E20-E26)/365),0,1,TRUE),IF(E$25="P",-1*(E27+1)*EXP(E28*(E20-E26)/365)*NORMDIST((-1*LN((E27+1)*EXP(E28*(E20-E26)/365)/E19)-0.5*E32*E32*(E20-E26)/365)/E32/SQRT((E20-E26)/365),0,1,TRUE)+E19*NORMDIST((-1*LN((E27+1)*EXP(E28*(E20-E26)/365)/E19)+0.5*E32*E32*(E20-E26)/365)/E32/SQRT((E20-E26)/365),0,1,TRUE),0))*EXP(-1*E29*(E20-E26)/365)+IF(E$25="C",(E27-1)*EXP(E28*(E20-E26)/365)*NORMDIST((LN((E27-1)*EXP(E28*(E20-E26)/365)/E19)+0.5*E32*E32*(E20-E26)/365)/E32/SQRT((E20-E26)/365),0,1,TRUE)-E19*NORMDIST((LN((E27-1)*EXP(E28*(E20-E26)/365)/E19)-0.5*E32*E32*(E20-E26)/365)/E32/SQRT((E20-E26)/365),0,1,TRUE),IF(E$25="P",-1*(E27-1)*EXP(E28*(E20-E26)/365)*NORMDIST((-1*LN((E27-1)*EXP(E28*(E20-E26)/365)/E19)-0.5*E32*E32*(E20-E26)/365)/E32/SQRT((E20-E26)/365),0,1,TRUE)+E19*NORMDIST((-1*LN((E27-1)*EXP(E28*(E20-E26)/365)/E19)+0.5*E32*E32*(E20-E26)/365)/E32/SQRT((E20-E26)/365),0,1,TRUE),0))*EXP(-1*E29*(E20-E26)/365)-2*IF(E$25="C",E27*EXP(E28*(E20-E26)/365)*NORMDIST((LN(E27*EXP(E28*(E20-E26)/365)/E19)+0.5*E32*E32*(E20-E26)/365)/E32/SQRT((E20-E26)/365),0,1,TRUE)-E19*NORMDIST((LN(E27*EXP(E28*(E20-E26)/365)/E19)-0.5*E32*E32*(E20-E26)/365)/E32/SQRT((E20-E26)/365),0,1,TRUE),IF(E$25="P",-1*E27*EXP(E28*(E20-E26)/365)*NORMDIST((-1*LN(E27*EXP(E28*(E20-E26)/365)/E19)-0.5*E32*E32*(E20-E26)/365)/E32/SQRT((E20-E26)/365),0,1,TRUE)+E19*NORMDIST((-1*LN(E27*EXP(E28*(E20-E26)/365)/E19)+0.5*E32*E32*(E20-E26)/365)/E32/SQRT((E20-E26)/365),0,1,TRUE),0))*EXP(-1*E29*(E20-E26)/365)</f>
        <v>1.6922233044169843E-5</v>
      </c>
      <c r="F50" s="253">
        <f t="shared" ca="1" si="277"/>
        <v>1.652846549404785E-5</v>
      </c>
      <c r="G50" s="253">
        <f t="shared" ref="G50:H50" ca="1" si="278">IF(G$25="C",(G27+1)*EXP(G28*(G20-G26)/365)*NORMDIST((LN((G27+1)*EXP(G28*(G20-G26)/365)/G19)+0.5*G32*G32*(G20-G26)/365)/G32/SQRT((G20-G26)/365),0,1,TRUE)-G19*NORMDIST((LN((G27+1)*EXP(G28*(G20-G26)/365)/G19)-0.5*G32*G32*(G20-G26)/365)/G32/SQRT((G20-G26)/365),0,1,TRUE),IF(G$25="P",-1*(G27+1)*EXP(G28*(G20-G26)/365)*NORMDIST((-1*LN((G27+1)*EXP(G28*(G20-G26)/365)/G19)-0.5*G32*G32*(G20-G26)/365)/G32/SQRT((G20-G26)/365),0,1,TRUE)+G19*NORMDIST((-1*LN((G27+1)*EXP(G28*(G20-G26)/365)/G19)+0.5*G32*G32*(G20-G26)/365)/G32/SQRT((G20-G26)/365),0,1,TRUE),0))*EXP(-1*G29*(G20-G26)/365)+IF(G$25="C",(G27-1)*EXP(G28*(G20-G26)/365)*NORMDIST((LN((G27-1)*EXP(G28*(G20-G26)/365)/G19)+0.5*G32*G32*(G20-G26)/365)/G32/SQRT((G20-G26)/365),0,1,TRUE)-G19*NORMDIST((LN((G27-1)*EXP(G28*(G20-G26)/365)/G19)-0.5*G32*G32*(G20-G26)/365)/G32/SQRT((G20-G26)/365),0,1,TRUE),IF(G$25="P",-1*(G27-1)*EXP(G28*(G20-G26)/365)*NORMDIST((-1*LN((G27-1)*EXP(G28*(G20-G26)/365)/G19)-0.5*G32*G32*(G20-G26)/365)/G32/SQRT((G20-G26)/365),0,1,TRUE)+G19*NORMDIST((-1*LN((G27-1)*EXP(G28*(G20-G26)/365)/G19)+0.5*G32*G32*(G20-G26)/365)/G32/SQRT((G20-G26)/365),0,1,TRUE),0))*EXP(-1*G29*(G20-G26)/365)-2*IF(G$25="C",G27*EXP(G28*(G20-G26)/365)*NORMDIST((LN(G27*EXP(G28*(G20-G26)/365)/G19)+0.5*G32*G32*(G20-G26)/365)/G32/SQRT((G20-G26)/365),0,1,TRUE)-G19*NORMDIST((LN(G27*EXP(G28*(G20-G26)/365)/G19)-0.5*G32*G32*(G20-G26)/365)/G32/SQRT((G20-G26)/365),0,1,TRUE),IF(G$25="P",-1*G27*EXP(G28*(G20-G26)/365)*NORMDIST((-1*LN(G27*EXP(G28*(G20-G26)/365)/G19)-0.5*G32*G32*(G20-G26)/365)/G32/SQRT((G20-G26)/365),0,1,TRUE)+G19*NORMDIST((-1*LN(G27*EXP(G28*(G20-G26)/365)/G19)+0.5*G32*G32*(G20-G26)/365)/G32/SQRT((G20-G26)/365),0,1,TRUE),0))*EXP(-1*G29*(G20-G26)/365)</f>
        <v>1.6143920220201835E-5</v>
      </c>
      <c r="H50" s="253">
        <f t="shared" si="278"/>
        <v>0</v>
      </c>
      <c r="I50" s="253">
        <f t="shared" ref="I50" si="279">IF(I$25="C",(I27+1)*EXP(I28*(I20-I26)/365)*NORMDIST((LN((I27+1)*EXP(I28*(I20-I26)/365)/I19)+0.5*I32*I32*(I20-I26)/365)/I32/SQRT((I20-I26)/365),0,1,TRUE)-I19*NORMDIST((LN((I27+1)*EXP(I28*(I20-I26)/365)/I19)-0.5*I32*I32*(I20-I26)/365)/I32/SQRT((I20-I26)/365),0,1,TRUE),IF(I$25="P",-1*(I27+1)*EXP(I28*(I20-I26)/365)*NORMDIST((-1*LN((I27+1)*EXP(I28*(I20-I26)/365)/I19)-0.5*I32*I32*(I20-I26)/365)/I32/SQRT((I20-I26)/365),0,1,TRUE)+I19*NORMDIST((-1*LN((I27+1)*EXP(I28*(I20-I26)/365)/I19)+0.5*I32*I32*(I20-I26)/365)/I32/SQRT((I20-I26)/365),0,1,TRUE),0))*EXP(-1*I29*(I20-I26)/365)+IF(I$25="C",(I27-1)*EXP(I28*(I20-I26)/365)*NORMDIST((LN((I27-1)*EXP(I28*(I20-I26)/365)/I19)+0.5*I32*I32*(I20-I26)/365)/I32/SQRT((I20-I26)/365),0,1,TRUE)-I19*NORMDIST((LN((I27-1)*EXP(I28*(I20-I26)/365)/I19)-0.5*I32*I32*(I20-I26)/365)/I32/SQRT((I20-I26)/365),0,1,TRUE),IF(I$25="P",-1*(I27-1)*EXP(I28*(I20-I26)/365)*NORMDIST((-1*LN((I27-1)*EXP(I28*(I20-I26)/365)/I19)-0.5*I32*I32*(I20-I26)/365)/I32/SQRT((I20-I26)/365),0,1,TRUE)+I19*NORMDIST((-1*LN((I27-1)*EXP(I28*(I20-I26)/365)/I19)+0.5*I32*I32*(I20-I26)/365)/I32/SQRT((I20-I26)/365),0,1,TRUE),0))*EXP(-1*I29*(I20-I26)/365)-2*IF(I$25="C",I27*EXP(I28*(I20-I26)/365)*NORMDIST((LN(I27*EXP(I28*(I20-I26)/365)/I19)+0.5*I32*I32*(I20-I26)/365)/I32/SQRT((I20-I26)/365),0,1,TRUE)-I19*NORMDIST((LN(I27*EXP(I28*(I20-I26)/365)/I19)-0.5*I32*I32*(I20-I26)/365)/I32/SQRT((I20-I26)/365),0,1,TRUE),IF(I$25="P",-1*I27*EXP(I28*(I20-I26)/365)*NORMDIST((-1*LN(I27*EXP(I28*(I20-I26)/365)/I19)-0.5*I32*I32*(I20-I26)/365)/I32/SQRT((I20-I26)/365),0,1,TRUE)+I19*NORMDIST((-1*LN(I27*EXP(I28*(I20-I26)/365)/I19)+0.5*I32*I32*(I20-I26)/365)/I32/SQRT((I20-I26)/365),0,1,TRUE),0))*EXP(-1*I29*(I20-I26)/365)</f>
        <v>0</v>
      </c>
      <c r="J50" s="253">
        <f t="shared" ca="1" si="276"/>
        <v>1.8199323676526546E-5</v>
      </c>
      <c r="K50" s="253">
        <f t="shared" ca="1" si="276"/>
        <v>1.76153116626665E-5</v>
      </c>
      <c r="L50" s="253">
        <f t="shared" ca="1" si="276"/>
        <v>1.698565756669268E-5</v>
      </c>
      <c r="M50" s="253">
        <f t="shared" ref="M50:N50" ca="1" si="280">IF(M$25="C",(M27+1)*EXP(M28*(M20-M26)/365)*NORMDIST((LN((M27+1)*EXP(M28*(M20-M26)/365)/M19)+0.5*M32*M32*(M20-M26)/365)/M32/SQRT((M20-M26)/365),0,1,TRUE)-M19*NORMDIST((LN((M27+1)*EXP(M28*(M20-M26)/365)/M19)-0.5*M32*M32*(M20-M26)/365)/M32/SQRT((M20-M26)/365),0,1,TRUE),IF(M$25="P",-1*(M27+1)*EXP(M28*(M20-M26)/365)*NORMDIST((-1*LN((M27+1)*EXP(M28*(M20-M26)/365)/M19)-0.5*M32*M32*(M20-M26)/365)/M32/SQRT((M20-M26)/365),0,1,TRUE)+M19*NORMDIST((-1*LN((M27+1)*EXP(M28*(M20-M26)/365)/M19)+0.5*M32*M32*(M20-M26)/365)/M32/SQRT((M20-M26)/365),0,1,TRUE),0))*EXP(-1*M29*(M20-M26)/365)+IF(M$25="C",(M27-1)*EXP(M28*(M20-M26)/365)*NORMDIST((LN((M27-1)*EXP(M28*(M20-M26)/365)/M19)+0.5*M32*M32*(M20-M26)/365)/M32/SQRT((M20-M26)/365),0,1,TRUE)-M19*NORMDIST((LN((M27-1)*EXP(M28*(M20-M26)/365)/M19)-0.5*M32*M32*(M20-M26)/365)/M32/SQRT((M20-M26)/365),0,1,TRUE),IF(M$25="P",-1*(M27-1)*EXP(M28*(M20-M26)/365)*NORMDIST((-1*LN((M27-1)*EXP(M28*(M20-M26)/365)/M19)-0.5*M32*M32*(M20-M26)/365)/M32/SQRT((M20-M26)/365),0,1,TRUE)+M19*NORMDIST((-1*LN((M27-1)*EXP(M28*(M20-M26)/365)/M19)+0.5*M32*M32*(M20-M26)/365)/M32/SQRT((M20-M26)/365),0,1,TRUE),0))*EXP(-1*M29*(M20-M26)/365)-2*IF(M$25="C",M27*EXP(M28*(M20-M26)/365)*NORMDIST((LN(M27*EXP(M28*(M20-M26)/365)/M19)+0.5*M32*M32*(M20-M26)/365)/M32/SQRT((M20-M26)/365),0,1,TRUE)-M19*NORMDIST((LN(M27*EXP(M28*(M20-M26)/365)/M19)-0.5*M32*M32*(M20-M26)/365)/M32/SQRT((M20-M26)/365),0,1,TRUE),IF(M$25="P",-1*M27*EXP(M28*(M20-M26)/365)*NORMDIST((-1*LN(M27*EXP(M28*(M20-M26)/365)/M19)-0.5*M32*M32*(M20-M26)/365)/M32/SQRT((M20-M26)/365),0,1,TRUE)+M19*NORMDIST((-1*LN(M27*EXP(M28*(M20-M26)/365)/M19)+0.5*M32*M32*(M20-M26)/365)/M32/SQRT((M20-M26)/365),0,1,TRUE),0))*EXP(-1*M29*(M20-M26)/365)</f>
        <v>1.6318401321768761E-5</v>
      </c>
      <c r="N50" s="253">
        <f t="shared" ca="1" si="280"/>
        <v>1.571332904859446E-5</v>
      </c>
      <c r="O50" s="253">
        <f t="shared" ref="O50:P50" ca="1" si="281">IF(O$25="C",(O27+1)*EXP(O28*(O20-O26)/365)*NORMDIST((LN((O27+1)*EXP(O28*(O20-O26)/365)/O19)+0.5*O32*O32*(O20-O26)/365)/O32/SQRT((O20-O26)/365),0,1,TRUE)-O19*NORMDIST((LN((O27+1)*EXP(O28*(O20-O26)/365)/O19)-0.5*O32*O32*(O20-O26)/365)/O32/SQRT((O20-O26)/365),0,1,TRUE),IF(O$25="P",-1*(O27+1)*EXP(O28*(O20-O26)/365)*NORMDIST((-1*LN((O27+1)*EXP(O28*(O20-O26)/365)/O19)-0.5*O32*O32*(O20-O26)/365)/O32/SQRT((O20-O26)/365),0,1,TRUE)+O19*NORMDIST((-1*LN((O27+1)*EXP(O28*(O20-O26)/365)/O19)+0.5*O32*O32*(O20-O26)/365)/O32/SQRT((O20-O26)/365),0,1,TRUE),0))*EXP(-1*O29*(O20-O26)/365)+IF(O$25="C",(O27-1)*EXP(O28*(O20-O26)/365)*NORMDIST((LN((O27-1)*EXP(O28*(O20-O26)/365)/O19)+0.5*O32*O32*(O20-O26)/365)/O32/SQRT((O20-O26)/365),0,1,TRUE)-O19*NORMDIST((LN((O27-1)*EXP(O28*(O20-O26)/365)/O19)-0.5*O32*O32*(O20-O26)/365)/O32/SQRT((O20-O26)/365),0,1,TRUE),IF(O$25="P",-1*(O27-1)*EXP(O28*(O20-O26)/365)*NORMDIST((-1*LN((O27-1)*EXP(O28*(O20-O26)/365)/O19)-0.5*O32*O32*(O20-O26)/365)/O32/SQRT((O20-O26)/365),0,1,TRUE)+O19*NORMDIST((-1*LN((O27-1)*EXP(O28*(O20-O26)/365)/O19)+0.5*O32*O32*(O20-O26)/365)/O32/SQRT((O20-O26)/365),0,1,TRUE),0))*EXP(-1*O29*(O20-O26)/365)-2*IF(O$25="C",O27*EXP(O28*(O20-O26)/365)*NORMDIST((LN(O27*EXP(O28*(O20-O26)/365)/O19)+0.5*O32*O32*(O20-O26)/365)/O32/SQRT((O20-O26)/365),0,1,TRUE)-O19*NORMDIST((LN(O27*EXP(O28*(O20-O26)/365)/O19)-0.5*O32*O32*(O20-O26)/365)/O32/SQRT((O20-O26)/365),0,1,TRUE),IF(O$25="P",-1*O27*EXP(O28*(O20-O26)/365)*NORMDIST((-1*LN(O27*EXP(O28*(O20-O26)/365)/O19)-0.5*O32*O32*(O20-O26)/365)/O32/SQRT((O20-O26)/365),0,1,TRUE)+O19*NORMDIST((-1*LN(O27*EXP(O28*(O20-O26)/365)/O19)+0.5*O32*O32*(O20-O26)/365)/O32/SQRT((O20-O26)/365),0,1,TRUE),0))*EXP(-1*O29*(O20-O26)/365)</f>
        <v>1.516968768555671E-5</v>
      </c>
      <c r="P50" s="253">
        <f t="shared" si="281"/>
        <v>0</v>
      </c>
      <c r="Q50" s="253">
        <f t="shared" ref="Q50" si="282">IF(Q$25="C",(Q27+1)*EXP(Q28*(Q20-Q26)/365)*NORMDIST((LN((Q27+1)*EXP(Q28*(Q20-Q26)/365)/Q19)+0.5*Q32*Q32*(Q20-Q26)/365)/Q32/SQRT((Q20-Q26)/365),0,1,TRUE)-Q19*NORMDIST((LN((Q27+1)*EXP(Q28*(Q20-Q26)/365)/Q19)-0.5*Q32*Q32*(Q20-Q26)/365)/Q32/SQRT((Q20-Q26)/365),0,1,TRUE),IF(Q$25="P",-1*(Q27+1)*EXP(Q28*(Q20-Q26)/365)*NORMDIST((-1*LN((Q27+1)*EXP(Q28*(Q20-Q26)/365)/Q19)-0.5*Q32*Q32*(Q20-Q26)/365)/Q32/SQRT((Q20-Q26)/365),0,1,TRUE)+Q19*NORMDIST((-1*LN((Q27+1)*EXP(Q28*(Q20-Q26)/365)/Q19)+0.5*Q32*Q32*(Q20-Q26)/365)/Q32/SQRT((Q20-Q26)/365),0,1,TRUE),0))*EXP(-1*Q29*(Q20-Q26)/365)+IF(Q$25="C",(Q27-1)*EXP(Q28*(Q20-Q26)/365)*NORMDIST((LN((Q27-1)*EXP(Q28*(Q20-Q26)/365)/Q19)+0.5*Q32*Q32*(Q20-Q26)/365)/Q32/SQRT((Q20-Q26)/365),0,1,TRUE)-Q19*NORMDIST((LN((Q27-1)*EXP(Q28*(Q20-Q26)/365)/Q19)-0.5*Q32*Q32*(Q20-Q26)/365)/Q32/SQRT((Q20-Q26)/365),0,1,TRUE),IF(Q$25="P",-1*(Q27-1)*EXP(Q28*(Q20-Q26)/365)*NORMDIST((-1*LN((Q27-1)*EXP(Q28*(Q20-Q26)/365)/Q19)-0.5*Q32*Q32*(Q20-Q26)/365)/Q32/SQRT((Q20-Q26)/365),0,1,TRUE)+Q19*NORMDIST((-1*LN((Q27-1)*EXP(Q28*(Q20-Q26)/365)/Q19)+0.5*Q32*Q32*(Q20-Q26)/365)/Q32/SQRT((Q20-Q26)/365),0,1,TRUE),0))*EXP(-1*Q29*(Q20-Q26)/365)-2*IF(Q$25="C",Q27*EXP(Q28*(Q20-Q26)/365)*NORMDIST((LN(Q27*EXP(Q28*(Q20-Q26)/365)/Q19)+0.5*Q32*Q32*(Q20-Q26)/365)/Q32/SQRT((Q20-Q26)/365),0,1,TRUE)-Q19*NORMDIST((LN(Q27*EXP(Q28*(Q20-Q26)/365)/Q19)-0.5*Q32*Q32*(Q20-Q26)/365)/Q32/SQRT((Q20-Q26)/365),0,1,TRUE),IF(Q$25="P",-1*Q27*EXP(Q28*(Q20-Q26)/365)*NORMDIST((-1*LN(Q27*EXP(Q28*(Q20-Q26)/365)/Q19)-0.5*Q32*Q32*(Q20-Q26)/365)/Q32/SQRT((Q20-Q26)/365),0,1,TRUE)+Q19*NORMDIST((-1*LN(Q27*EXP(Q28*(Q20-Q26)/365)/Q19)+0.5*Q32*Q32*(Q20-Q26)/365)/Q32/SQRT((Q20-Q26)/365),0,1,TRUE),0))*EXP(-1*Q29*(Q20-Q26)/365)</f>
        <v>0</v>
      </c>
      <c r="R50" s="253">
        <f t="shared" ca="1" si="276"/>
        <v>1.8046561308437958E-5</v>
      </c>
      <c r="S50" s="253">
        <f t="shared" ca="1" si="276"/>
        <v>1.7411708540748805E-5</v>
      </c>
      <c r="T50" s="253">
        <f t="shared" ca="1" si="276"/>
        <v>1.6738958947826177E-5</v>
      </c>
      <c r="U50" s="253">
        <f t="shared" ref="U50:V50" ca="1" si="283">IF(U$25="C",(U27+1)*EXP(U28*(U20-U26)/365)*NORMDIST((LN((U27+1)*EXP(U28*(U20-U26)/365)/U19)+0.5*U32*U32*(U20-U26)/365)/U32/SQRT((U20-U26)/365),0,1,TRUE)-U19*NORMDIST((LN((U27+1)*EXP(U28*(U20-U26)/365)/U19)-0.5*U32*U32*(U20-U26)/365)/U32/SQRT((U20-U26)/365),0,1,TRUE),IF(U$25="P",-1*(U27+1)*EXP(U28*(U20-U26)/365)*NORMDIST((-1*LN((U27+1)*EXP(U28*(U20-U26)/365)/U19)-0.5*U32*U32*(U20-U26)/365)/U32/SQRT((U20-U26)/365),0,1,TRUE)+U19*NORMDIST((-1*LN((U27+1)*EXP(U28*(U20-U26)/365)/U19)+0.5*U32*U32*(U20-U26)/365)/U32/SQRT((U20-U26)/365),0,1,TRUE),0))*EXP(-1*U29*(U20-U26)/365)+IF(U$25="C",(U27-1)*EXP(U28*(U20-U26)/365)*NORMDIST((LN((U27-1)*EXP(U28*(U20-U26)/365)/U19)+0.5*U32*U32*(U20-U26)/365)/U32/SQRT((U20-U26)/365),0,1,TRUE)-U19*NORMDIST((LN((U27-1)*EXP(U28*(U20-U26)/365)/U19)-0.5*U32*U32*(U20-U26)/365)/U32/SQRT((U20-U26)/365),0,1,TRUE),IF(U$25="P",-1*(U27-1)*EXP(U28*(U20-U26)/365)*NORMDIST((-1*LN((U27-1)*EXP(U28*(U20-U26)/365)/U19)-0.5*U32*U32*(U20-U26)/365)/U32/SQRT((U20-U26)/365),0,1,TRUE)+U19*NORMDIST((-1*LN((U27-1)*EXP(U28*(U20-U26)/365)/U19)+0.5*U32*U32*(U20-U26)/365)/U32/SQRT((U20-U26)/365),0,1,TRUE),0))*EXP(-1*U29*(U20-U26)/365)-2*IF(U$25="C",U27*EXP(U28*(U20-U26)/365)*NORMDIST((LN(U27*EXP(U28*(U20-U26)/365)/U19)+0.5*U32*U32*(U20-U26)/365)/U32/SQRT((U20-U26)/365),0,1,TRUE)-U19*NORMDIST((LN(U27*EXP(U28*(U20-U26)/365)/U19)-0.5*U32*U32*(U20-U26)/365)/U32/SQRT((U20-U26)/365),0,1,TRUE),IF(U$25="P",-1*U27*EXP(U28*(U20-U26)/365)*NORMDIST((-1*LN(U27*EXP(U28*(U20-U26)/365)/U19)-0.5*U32*U32*(U20-U26)/365)/U32/SQRT((U20-U26)/365),0,1,TRUE)+U19*NORMDIST((-1*LN(U27*EXP(U28*(U20-U26)/365)/U19)+0.5*U32*U32*(U20-U26)/365)/U32/SQRT((U20-U26)/365),0,1,TRUE),0))*EXP(-1*U29*(U20-U26)/365)</f>
        <v>1.603643613634631E-5</v>
      </c>
      <c r="V50" s="253">
        <f t="shared" ca="1" si="283"/>
        <v>1.540697121527046E-5</v>
      </c>
      <c r="W50" s="253">
        <f t="shared" ref="W50:X50" ca="1" si="284">IF(W$25="C",(W27+1)*EXP(W28*(W20-W26)/365)*NORMDIST((LN((W27+1)*EXP(W28*(W20-W26)/365)/W19)+0.5*W32*W32*(W20-W26)/365)/W32/SQRT((W20-W26)/365),0,1,TRUE)-W19*NORMDIST((LN((W27+1)*EXP(W28*(W20-W26)/365)/W19)-0.5*W32*W32*(W20-W26)/365)/W32/SQRT((W20-W26)/365),0,1,TRUE),IF(W$25="P",-1*(W27+1)*EXP(W28*(W20-W26)/365)*NORMDIST((-1*LN((W27+1)*EXP(W28*(W20-W26)/365)/W19)-0.5*W32*W32*(W20-W26)/365)/W32/SQRT((W20-W26)/365),0,1,TRUE)+W19*NORMDIST((-1*LN((W27+1)*EXP(W28*(W20-W26)/365)/W19)+0.5*W32*W32*(W20-W26)/365)/W32/SQRT((W20-W26)/365),0,1,TRUE),0))*EXP(-1*W29*(W20-W26)/365)+IF(W$25="C",(W27-1)*EXP(W28*(W20-W26)/365)*NORMDIST((LN((W27-1)*EXP(W28*(W20-W26)/365)/W19)+0.5*W32*W32*(W20-W26)/365)/W32/SQRT((W20-W26)/365),0,1,TRUE)-W19*NORMDIST((LN((W27-1)*EXP(W28*(W20-W26)/365)/W19)-0.5*W32*W32*(W20-W26)/365)/W32/SQRT((W20-W26)/365),0,1,TRUE),IF(W$25="P",-1*(W27-1)*EXP(W28*(W20-W26)/365)*NORMDIST((-1*LN((W27-1)*EXP(W28*(W20-W26)/365)/W19)-0.5*W32*W32*(W20-W26)/365)/W32/SQRT((W20-W26)/365),0,1,TRUE)+W19*NORMDIST((-1*LN((W27-1)*EXP(W28*(W20-W26)/365)/W19)+0.5*W32*W32*(W20-W26)/365)/W32/SQRT((W20-W26)/365),0,1,TRUE),0))*EXP(-1*W29*(W20-W26)/365)-2*IF(W$25="C",W27*EXP(W28*(W20-W26)/365)*NORMDIST((LN(W27*EXP(W28*(W20-W26)/365)/W19)+0.5*W32*W32*(W20-W26)/365)/W32/SQRT((W20-W26)/365),0,1,TRUE)-W19*NORMDIST((LN(W27*EXP(W28*(W20-W26)/365)/W19)-0.5*W32*W32*(W20-W26)/365)/W32/SQRT((W20-W26)/365),0,1,TRUE),IF(W$25="P",-1*W27*EXP(W28*(W20-W26)/365)*NORMDIST((-1*LN(W27*EXP(W28*(W20-W26)/365)/W19)-0.5*W32*W32*(W20-W26)/365)/W32/SQRT((W20-W26)/365),0,1,TRUE)+W19*NORMDIST((-1*LN(W27*EXP(W28*(W20-W26)/365)/W19)+0.5*W32*W32*(W20-W26)/365)/W32/SQRT((W20-W26)/365),0,1,TRUE),0))*EXP(-1*W29*(W20-W26)/365)</f>
        <v>1.4846540580037981E-5</v>
      </c>
      <c r="X50" s="253">
        <f t="shared" si="284"/>
        <v>0</v>
      </c>
      <c r="Y50" s="253">
        <f t="shared" ref="Y50" si="285">IF(Y$25="C",(Y27+1)*EXP(Y28*(Y20-Y26)/365)*NORMDIST((LN((Y27+1)*EXP(Y28*(Y20-Y26)/365)/Y19)+0.5*Y32*Y32*(Y20-Y26)/365)/Y32/SQRT((Y20-Y26)/365),0,1,TRUE)-Y19*NORMDIST((LN((Y27+1)*EXP(Y28*(Y20-Y26)/365)/Y19)-0.5*Y32*Y32*(Y20-Y26)/365)/Y32/SQRT((Y20-Y26)/365),0,1,TRUE),IF(Y$25="P",-1*(Y27+1)*EXP(Y28*(Y20-Y26)/365)*NORMDIST((-1*LN((Y27+1)*EXP(Y28*(Y20-Y26)/365)/Y19)-0.5*Y32*Y32*(Y20-Y26)/365)/Y32/SQRT((Y20-Y26)/365),0,1,TRUE)+Y19*NORMDIST((-1*LN((Y27+1)*EXP(Y28*(Y20-Y26)/365)/Y19)+0.5*Y32*Y32*(Y20-Y26)/365)/Y32/SQRT((Y20-Y26)/365),0,1,TRUE),0))*EXP(-1*Y29*(Y20-Y26)/365)+IF(Y$25="C",(Y27-1)*EXP(Y28*(Y20-Y26)/365)*NORMDIST((LN((Y27-1)*EXP(Y28*(Y20-Y26)/365)/Y19)+0.5*Y32*Y32*(Y20-Y26)/365)/Y32/SQRT((Y20-Y26)/365),0,1,TRUE)-Y19*NORMDIST((LN((Y27-1)*EXP(Y28*(Y20-Y26)/365)/Y19)-0.5*Y32*Y32*(Y20-Y26)/365)/Y32/SQRT((Y20-Y26)/365),0,1,TRUE),IF(Y$25="P",-1*(Y27-1)*EXP(Y28*(Y20-Y26)/365)*NORMDIST((-1*LN((Y27-1)*EXP(Y28*(Y20-Y26)/365)/Y19)-0.5*Y32*Y32*(Y20-Y26)/365)/Y32/SQRT((Y20-Y26)/365),0,1,TRUE)+Y19*NORMDIST((-1*LN((Y27-1)*EXP(Y28*(Y20-Y26)/365)/Y19)+0.5*Y32*Y32*(Y20-Y26)/365)/Y32/SQRT((Y20-Y26)/365),0,1,TRUE),0))*EXP(-1*Y29*(Y20-Y26)/365)-2*IF(Y$25="C",Y27*EXP(Y28*(Y20-Y26)/365)*NORMDIST((LN(Y27*EXP(Y28*(Y20-Y26)/365)/Y19)+0.5*Y32*Y32*(Y20-Y26)/365)/Y32/SQRT((Y20-Y26)/365),0,1,TRUE)-Y19*NORMDIST((LN(Y27*EXP(Y28*(Y20-Y26)/365)/Y19)-0.5*Y32*Y32*(Y20-Y26)/365)/Y32/SQRT((Y20-Y26)/365),0,1,TRUE),IF(Y$25="P",-1*Y27*EXP(Y28*(Y20-Y26)/365)*NORMDIST((-1*LN(Y27*EXP(Y28*(Y20-Y26)/365)/Y19)-0.5*Y32*Y32*(Y20-Y26)/365)/Y32/SQRT((Y20-Y26)/365),0,1,TRUE)+Y19*NORMDIST((-1*LN(Y27*EXP(Y28*(Y20-Y26)/365)/Y19)+0.5*Y32*Y32*(Y20-Y26)/365)/Y32/SQRT((Y20-Y26)/365),0,1,TRUE),0))*EXP(-1*Y29*(Y20-Y26)/365)</f>
        <v>0</v>
      </c>
      <c r="Z50" s="253">
        <f t="shared" ca="1" si="276"/>
        <v>7.1812746682553552E-6</v>
      </c>
      <c r="AA50" s="253">
        <f t="shared" ca="1" si="276"/>
        <v>6.8652725531137548E-6</v>
      </c>
      <c r="AB50" s="253">
        <f t="shared" ca="1" si="276"/>
        <v>6.5480680859764107E-6</v>
      </c>
      <c r="AC50" s="253">
        <f t="shared" ref="AC50:AD50" ca="1" si="286">IF(AC$25="C",(AC27+1)*EXP(AC28*(AC20-AC26)/365)*NORMDIST((LN((AC27+1)*EXP(AC28*(AC20-AC26)/365)/AC19)+0.5*AC32*AC32*(AC20-AC26)/365)/AC32/SQRT((AC20-AC26)/365),0,1,TRUE)-AC19*NORMDIST((LN((AC27+1)*EXP(AC28*(AC20-AC26)/365)/AC19)-0.5*AC32*AC32*(AC20-AC26)/365)/AC32/SQRT((AC20-AC26)/365),0,1,TRUE),IF(AC$25="P",-1*(AC27+1)*EXP(AC28*(AC20-AC26)/365)*NORMDIST((-1*LN((AC27+1)*EXP(AC28*(AC20-AC26)/365)/AC19)-0.5*AC32*AC32*(AC20-AC26)/365)/AC32/SQRT((AC20-AC26)/365),0,1,TRUE)+AC19*NORMDIST((-1*LN((AC27+1)*EXP(AC28*(AC20-AC26)/365)/AC19)+0.5*AC32*AC32*(AC20-AC26)/365)/AC32/SQRT((AC20-AC26)/365),0,1,TRUE),0))*EXP(-1*AC29*(AC20-AC26)/365)+IF(AC$25="C",(AC27-1)*EXP(AC28*(AC20-AC26)/365)*NORMDIST((LN((AC27-1)*EXP(AC28*(AC20-AC26)/365)/AC19)+0.5*AC32*AC32*(AC20-AC26)/365)/AC32/SQRT((AC20-AC26)/365),0,1,TRUE)-AC19*NORMDIST((LN((AC27-1)*EXP(AC28*(AC20-AC26)/365)/AC19)-0.5*AC32*AC32*(AC20-AC26)/365)/AC32/SQRT((AC20-AC26)/365),0,1,TRUE),IF(AC$25="P",-1*(AC27-1)*EXP(AC28*(AC20-AC26)/365)*NORMDIST((-1*LN((AC27-1)*EXP(AC28*(AC20-AC26)/365)/AC19)-0.5*AC32*AC32*(AC20-AC26)/365)/AC32/SQRT((AC20-AC26)/365),0,1,TRUE)+AC19*NORMDIST((-1*LN((AC27-1)*EXP(AC28*(AC20-AC26)/365)/AC19)+0.5*AC32*AC32*(AC20-AC26)/365)/AC32/SQRT((AC20-AC26)/365),0,1,TRUE),0))*EXP(-1*AC29*(AC20-AC26)/365)-2*IF(AC$25="C",AC27*EXP(AC28*(AC20-AC26)/365)*NORMDIST((LN(AC27*EXP(AC28*(AC20-AC26)/365)/AC19)+0.5*AC32*AC32*(AC20-AC26)/365)/AC32/SQRT((AC20-AC26)/365),0,1,TRUE)-AC19*NORMDIST((LN(AC27*EXP(AC28*(AC20-AC26)/365)/AC19)-0.5*AC32*AC32*(AC20-AC26)/365)/AC32/SQRT((AC20-AC26)/365),0,1,TRUE),IF(AC$25="P",-1*AC27*EXP(AC28*(AC20-AC26)/365)*NORMDIST((-1*LN(AC27*EXP(AC28*(AC20-AC26)/365)/AC19)-0.5*AC32*AC32*(AC20-AC26)/365)/AC32/SQRT((AC20-AC26)/365),0,1,TRUE)+AC19*NORMDIST((-1*LN(AC27*EXP(AC28*(AC20-AC26)/365)/AC19)+0.5*AC32*AC32*(AC20-AC26)/365)/AC32/SQRT((AC20-AC26)/365),0,1,TRUE),0))*EXP(-1*AC29*(AC20-AC26)/365)</f>
        <v>6.232311534404289E-6</v>
      </c>
      <c r="AD50" s="253">
        <f t="shared" ca="1" si="286"/>
        <v>5.9603480622172356E-6</v>
      </c>
      <c r="AE50" s="253">
        <f t="shared" ref="AE50:AF50" ca="1" si="287">IF(AE$25="C",(AE27+1)*EXP(AE28*(AE20-AE26)/365)*NORMDIST((LN((AE27+1)*EXP(AE28*(AE20-AE26)/365)/AE19)+0.5*AE32*AE32*(AE20-AE26)/365)/AE32/SQRT((AE20-AE26)/365),0,1,TRUE)-AE19*NORMDIST((LN((AE27+1)*EXP(AE28*(AE20-AE26)/365)/AE19)-0.5*AE32*AE32*(AE20-AE26)/365)/AE32/SQRT((AE20-AE26)/365),0,1,TRUE),IF(AE$25="P",-1*(AE27+1)*EXP(AE28*(AE20-AE26)/365)*NORMDIST((-1*LN((AE27+1)*EXP(AE28*(AE20-AE26)/365)/AE19)-0.5*AE32*AE32*(AE20-AE26)/365)/AE32/SQRT((AE20-AE26)/365),0,1,TRUE)+AE19*NORMDIST((-1*LN((AE27+1)*EXP(AE28*(AE20-AE26)/365)/AE19)+0.5*AE32*AE32*(AE20-AE26)/365)/AE32/SQRT((AE20-AE26)/365),0,1,TRUE),0))*EXP(-1*AE29*(AE20-AE26)/365)+IF(AE$25="C",(AE27-1)*EXP(AE28*(AE20-AE26)/365)*NORMDIST((LN((AE27-1)*EXP(AE28*(AE20-AE26)/365)/AE19)+0.5*AE32*AE32*(AE20-AE26)/365)/AE32/SQRT((AE20-AE26)/365),0,1,TRUE)-AE19*NORMDIST((LN((AE27-1)*EXP(AE28*(AE20-AE26)/365)/AE19)-0.5*AE32*AE32*(AE20-AE26)/365)/AE32/SQRT((AE20-AE26)/365),0,1,TRUE),IF(AE$25="P",-1*(AE27-1)*EXP(AE28*(AE20-AE26)/365)*NORMDIST((-1*LN((AE27-1)*EXP(AE28*(AE20-AE26)/365)/AE19)-0.5*AE32*AE32*(AE20-AE26)/365)/AE32/SQRT((AE20-AE26)/365),0,1,TRUE)+AE19*NORMDIST((-1*LN((AE27-1)*EXP(AE28*(AE20-AE26)/365)/AE19)+0.5*AE32*AE32*(AE20-AE26)/365)/AE32/SQRT((AE20-AE26)/365),0,1,TRUE),0))*EXP(-1*AE29*(AE20-AE26)/365)-2*IF(AE$25="C",AE27*EXP(AE28*(AE20-AE26)/365)*NORMDIST((LN(AE27*EXP(AE28*(AE20-AE26)/365)/AE19)+0.5*AE32*AE32*(AE20-AE26)/365)/AE32/SQRT((AE20-AE26)/365),0,1,TRUE)-AE19*NORMDIST((LN(AE27*EXP(AE28*(AE20-AE26)/365)/AE19)-0.5*AE32*AE32*(AE20-AE26)/365)/AE32/SQRT((AE20-AE26)/365),0,1,TRUE),IF(AE$25="P",-1*AE27*EXP(AE28*(AE20-AE26)/365)*NORMDIST((-1*LN(AE27*EXP(AE28*(AE20-AE26)/365)/AE19)-0.5*AE32*AE32*(AE20-AE26)/365)/AE32/SQRT((AE20-AE26)/365),0,1,TRUE)+AE19*NORMDIST((-1*LN(AE27*EXP(AE28*(AE20-AE26)/365)/AE19)+0.5*AE32*AE32*(AE20-AE26)/365)/AE32/SQRT((AE20-AE26)/365),0,1,TRUE),0))*EXP(-1*AE29*(AE20-AE26)/365)</f>
        <v>5.7255792853538878E-6</v>
      </c>
      <c r="AF50" s="253">
        <f t="shared" si="287"/>
        <v>0</v>
      </c>
      <c r="AG50" s="253">
        <f t="shared" ref="AG50" si="288">IF(AG$25="C",(AG27+1)*EXP(AG28*(AG20-AG26)/365)*NORMDIST((LN((AG27+1)*EXP(AG28*(AG20-AG26)/365)/AG19)+0.5*AG32*AG32*(AG20-AG26)/365)/AG32/SQRT((AG20-AG26)/365),0,1,TRUE)-AG19*NORMDIST((LN((AG27+1)*EXP(AG28*(AG20-AG26)/365)/AG19)-0.5*AG32*AG32*(AG20-AG26)/365)/AG32/SQRT((AG20-AG26)/365),0,1,TRUE),IF(AG$25="P",-1*(AG27+1)*EXP(AG28*(AG20-AG26)/365)*NORMDIST((-1*LN((AG27+1)*EXP(AG28*(AG20-AG26)/365)/AG19)-0.5*AG32*AG32*(AG20-AG26)/365)/AG32/SQRT((AG20-AG26)/365),0,1,TRUE)+AG19*NORMDIST((-1*LN((AG27+1)*EXP(AG28*(AG20-AG26)/365)/AG19)+0.5*AG32*AG32*(AG20-AG26)/365)/AG32/SQRT((AG20-AG26)/365),0,1,TRUE),0))*EXP(-1*AG29*(AG20-AG26)/365)+IF(AG$25="C",(AG27-1)*EXP(AG28*(AG20-AG26)/365)*NORMDIST((LN((AG27-1)*EXP(AG28*(AG20-AG26)/365)/AG19)+0.5*AG32*AG32*(AG20-AG26)/365)/AG32/SQRT((AG20-AG26)/365),0,1,TRUE)-AG19*NORMDIST((LN((AG27-1)*EXP(AG28*(AG20-AG26)/365)/AG19)-0.5*AG32*AG32*(AG20-AG26)/365)/AG32/SQRT((AG20-AG26)/365),0,1,TRUE),IF(AG$25="P",-1*(AG27-1)*EXP(AG28*(AG20-AG26)/365)*NORMDIST((-1*LN((AG27-1)*EXP(AG28*(AG20-AG26)/365)/AG19)-0.5*AG32*AG32*(AG20-AG26)/365)/AG32/SQRT((AG20-AG26)/365),0,1,TRUE)+AG19*NORMDIST((-1*LN((AG27-1)*EXP(AG28*(AG20-AG26)/365)/AG19)+0.5*AG32*AG32*(AG20-AG26)/365)/AG32/SQRT((AG20-AG26)/365),0,1,TRUE),0))*EXP(-1*AG29*(AG20-AG26)/365)-2*IF(AG$25="C",AG27*EXP(AG28*(AG20-AG26)/365)*NORMDIST((LN(AG27*EXP(AG28*(AG20-AG26)/365)/AG19)+0.5*AG32*AG32*(AG20-AG26)/365)/AG32/SQRT((AG20-AG26)/365),0,1,TRUE)-AG19*NORMDIST((LN(AG27*EXP(AG28*(AG20-AG26)/365)/AG19)-0.5*AG32*AG32*(AG20-AG26)/365)/AG32/SQRT((AG20-AG26)/365),0,1,TRUE),IF(AG$25="P",-1*AG27*EXP(AG28*(AG20-AG26)/365)*NORMDIST((-1*LN(AG27*EXP(AG28*(AG20-AG26)/365)/AG19)-0.5*AG32*AG32*(AG20-AG26)/365)/AG32/SQRT((AG20-AG26)/365),0,1,TRUE)+AG19*NORMDIST((-1*LN(AG27*EXP(AG28*(AG20-AG26)/365)/AG19)+0.5*AG32*AG32*(AG20-AG26)/365)/AG32/SQRT((AG20-AG26)/365),0,1,TRUE),0))*EXP(-1*AG29*(AG20-AG26)/365)</f>
        <v>0</v>
      </c>
      <c r="AH50" s="253">
        <f t="shared" ca="1" si="276"/>
        <v>6.9203333623590879E-6</v>
      </c>
      <c r="AI50" s="253">
        <f t="shared" ca="1" si="276"/>
        <v>6.6216152845299803E-6</v>
      </c>
      <c r="AJ50" s="253">
        <f t="shared" ca="1" si="276"/>
        <v>6.3210345615516417E-6</v>
      </c>
      <c r="AK50" s="253">
        <f t="shared" ref="AK50:AL50" ca="1" si="289">IF(AK$25="C",(AK27+1)*EXP(AK28*(AK20-AK26)/365)*NORMDIST((LN((AK27+1)*EXP(AK28*(AK20-AK26)/365)/AK19)+0.5*AK32*AK32*(AK20-AK26)/365)/AK32/SQRT((AK20-AK26)/365),0,1,TRUE)-AK19*NORMDIST((LN((AK27+1)*EXP(AK28*(AK20-AK26)/365)/AK19)-0.5*AK32*AK32*(AK20-AK26)/365)/AK32/SQRT((AK20-AK26)/365),0,1,TRUE),IF(AK$25="P",-1*(AK27+1)*EXP(AK28*(AK20-AK26)/365)*NORMDIST((-1*LN((AK27+1)*EXP(AK28*(AK20-AK26)/365)/AK19)-0.5*AK32*AK32*(AK20-AK26)/365)/AK32/SQRT((AK20-AK26)/365),0,1,TRUE)+AK19*NORMDIST((-1*LN((AK27+1)*EXP(AK28*(AK20-AK26)/365)/AK19)+0.5*AK32*AK32*(AK20-AK26)/365)/AK32/SQRT((AK20-AK26)/365),0,1,TRUE),0))*EXP(-1*AK29*(AK20-AK26)/365)+IF(AK$25="C",(AK27-1)*EXP(AK28*(AK20-AK26)/365)*NORMDIST((LN((AK27-1)*EXP(AK28*(AK20-AK26)/365)/AK19)+0.5*AK32*AK32*(AK20-AK26)/365)/AK32/SQRT((AK20-AK26)/365),0,1,TRUE)-AK19*NORMDIST((LN((AK27-1)*EXP(AK28*(AK20-AK26)/365)/AK19)-0.5*AK32*AK32*(AK20-AK26)/365)/AK32/SQRT((AK20-AK26)/365),0,1,TRUE),IF(AK$25="P",-1*(AK27-1)*EXP(AK28*(AK20-AK26)/365)*NORMDIST((-1*LN((AK27-1)*EXP(AK28*(AK20-AK26)/365)/AK19)-0.5*AK32*AK32*(AK20-AK26)/365)/AK32/SQRT((AK20-AK26)/365),0,1,TRUE)+AK19*NORMDIST((-1*LN((AK27-1)*EXP(AK28*(AK20-AK26)/365)/AK19)+0.5*AK32*AK32*(AK20-AK26)/365)/AK32/SQRT((AK20-AK26)/365),0,1,TRUE),0))*EXP(-1*AK29*(AK20-AK26)/365)-2*IF(AK$25="C",AK27*EXP(AK28*(AK20-AK26)/365)*NORMDIST((LN(AK27*EXP(AK28*(AK20-AK26)/365)/AK19)+0.5*AK32*AK32*(AK20-AK26)/365)/AK32/SQRT((AK20-AK26)/365),0,1,TRUE)-AK19*NORMDIST((LN(AK27*EXP(AK28*(AK20-AK26)/365)/AK19)-0.5*AK32*AK32*(AK20-AK26)/365)/AK32/SQRT((AK20-AK26)/365),0,1,TRUE),IF(AK$25="P",-1*AK27*EXP(AK28*(AK20-AK26)/365)*NORMDIST((-1*LN(AK27*EXP(AK28*(AK20-AK26)/365)/AK19)-0.5*AK32*AK32*(AK20-AK26)/365)/AK32/SQRT((AK20-AK26)/365),0,1,TRUE)+AK19*NORMDIST((-1*LN(AK27*EXP(AK28*(AK20-AK26)/365)/AK19)+0.5*AK32*AK32*(AK20-AK26)/365)/AK32/SQRT((AK20-AK26)/365),0,1,TRUE),0))*EXP(-1*AK29*(AK20-AK26)/365)</f>
        <v>6.0211541494936682E-6</v>
      </c>
      <c r="AL50" s="253">
        <f t="shared" ca="1" si="289"/>
        <v>5.7623910834081471E-6</v>
      </c>
      <c r="AM50" s="253">
        <f t="shared" ref="AM50:AN50" ca="1" si="290">IF(AM$25="C",(AM27+1)*EXP(AM28*(AM20-AM26)/365)*NORMDIST((LN((AM27+1)*EXP(AM28*(AM20-AM26)/365)/AM19)+0.5*AM32*AM32*(AM20-AM26)/365)/AM32/SQRT((AM20-AM26)/365),0,1,TRUE)-AM19*NORMDIST((LN((AM27+1)*EXP(AM28*(AM20-AM26)/365)/AM19)-0.5*AM32*AM32*(AM20-AM26)/365)/AM32/SQRT((AM20-AM26)/365),0,1,TRUE),IF(AM$25="P",-1*(AM27+1)*EXP(AM28*(AM20-AM26)/365)*NORMDIST((-1*LN((AM27+1)*EXP(AM28*(AM20-AM26)/365)/AM19)-0.5*AM32*AM32*(AM20-AM26)/365)/AM32/SQRT((AM20-AM26)/365),0,1,TRUE)+AM19*NORMDIST((-1*LN((AM27+1)*EXP(AM28*(AM20-AM26)/365)/AM19)+0.5*AM32*AM32*(AM20-AM26)/365)/AM32/SQRT((AM20-AM26)/365),0,1,TRUE),0))*EXP(-1*AM29*(AM20-AM26)/365)+IF(AM$25="C",(AM27-1)*EXP(AM28*(AM20-AM26)/365)*NORMDIST((LN((AM27-1)*EXP(AM28*(AM20-AM26)/365)/AM19)+0.5*AM32*AM32*(AM20-AM26)/365)/AM32/SQRT((AM20-AM26)/365),0,1,TRUE)-AM19*NORMDIST((LN((AM27-1)*EXP(AM28*(AM20-AM26)/365)/AM19)-0.5*AM32*AM32*(AM20-AM26)/365)/AM32/SQRT((AM20-AM26)/365),0,1,TRUE),IF(AM$25="P",-1*(AM27-1)*EXP(AM28*(AM20-AM26)/365)*NORMDIST((-1*LN((AM27-1)*EXP(AM28*(AM20-AM26)/365)/AM19)-0.5*AM32*AM32*(AM20-AM26)/365)/AM32/SQRT((AM20-AM26)/365),0,1,TRUE)+AM19*NORMDIST((-1*LN((AM27-1)*EXP(AM28*(AM20-AM26)/365)/AM19)+0.5*AM32*AM32*(AM20-AM26)/365)/AM32/SQRT((AM20-AM26)/365),0,1,TRUE),0))*EXP(-1*AM29*(AM20-AM26)/365)-2*IF(AM$25="C",AM27*EXP(AM28*(AM20-AM26)/365)*NORMDIST((LN(AM27*EXP(AM28*(AM20-AM26)/365)/AM19)+0.5*AM32*AM32*(AM20-AM26)/365)/AM32/SQRT((AM20-AM26)/365),0,1,TRUE)-AM19*NORMDIST((LN(AM27*EXP(AM28*(AM20-AM26)/365)/AM19)-0.5*AM32*AM32*(AM20-AM26)/365)/AM32/SQRT((AM20-AM26)/365),0,1,TRUE),IF(AM$25="P",-1*AM27*EXP(AM28*(AM20-AM26)/365)*NORMDIST((-1*LN(AM27*EXP(AM28*(AM20-AM26)/365)/AM19)-0.5*AM32*AM32*(AM20-AM26)/365)/AM32/SQRT((AM20-AM26)/365),0,1,TRUE)+AM19*NORMDIST((-1*LN(AM27*EXP(AM28*(AM20-AM26)/365)/AM19)+0.5*AM32*AM32*(AM20-AM26)/365)/AM32/SQRT((AM20-AM26)/365),0,1,TRUE),0))*EXP(-1*AM29*(AM20-AM26)/365)</f>
        <v>5.5386490203090943E-6</v>
      </c>
      <c r="AN50" s="253">
        <f t="shared" si="290"/>
        <v>0</v>
      </c>
      <c r="AO50" s="253">
        <f t="shared" ref="AO50" si="291">IF(AO$25="C",(AO27+1)*EXP(AO28*(AO20-AO26)/365)*NORMDIST((LN((AO27+1)*EXP(AO28*(AO20-AO26)/365)/AO19)+0.5*AO32*AO32*(AO20-AO26)/365)/AO32/SQRT((AO20-AO26)/365),0,1,TRUE)-AO19*NORMDIST((LN((AO27+1)*EXP(AO28*(AO20-AO26)/365)/AO19)-0.5*AO32*AO32*(AO20-AO26)/365)/AO32/SQRT((AO20-AO26)/365),0,1,TRUE),IF(AO$25="P",-1*(AO27+1)*EXP(AO28*(AO20-AO26)/365)*NORMDIST((-1*LN((AO27+1)*EXP(AO28*(AO20-AO26)/365)/AO19)-0.5*AO32*AO32*(AO20-AO26)/365)/AO32/SQRT((AO20-AO26)/365),0,1,TRUE)+AO19*NORMDIST((-1*LN((AO27+1)*EXP(AO28*(AO20-AO26)/365)/AO19)+0.5*AO32*AO32*(AO20-AO26)/365)/AO32/SQRT((AO20-AO26)/365),0,1,TRUE),0))*EXP(-1*AO29*(AO20-AO26)/365)+IF(AO$25="C",(AO27-1)*EXP(AO28*(AO20-AO26)/365)*NORMDIST((LN((AO27-1)*EXP(AO28*(AO20-AO26)/365)/AO19)+0.5*AO32*AO32*(AO20-AO26)/365)/AO32/SQRT((AO20-AO26)/365),0,1,TRUE)-AO19*NORMDIST((LN((AO27-1)*EXP(AO28*(AO20-AO26)/365)/AO19)-0.5*AO32*AO32*(AO20-AO26)/365)/AO32/SQRT((AO20-AO26)/365),0,1,TRUE),IF(AO$25="P",-1*(AO27-1)*EXP(AO28*(AO20-AO26)/365)*NORMDIST((-1*LN((AO27-1)*EXP(AO28*(AO20-AO26)/365)/AO19)-0.5*AO32*AO32*(AO20-AO26)/365)/AO32/SQRT((AO20-AO26)/365),0,1,TRUE)+AO19*NORMDIST((-1*LN((AO27-1)*EXP(AO28*(AO20-AO26)/365)/AO19)+0.5*AO32*AO32*(AO20-AO26)/365)/AO32/SQRT((AO20-AO26)/365),0,1,TRUE),0))*EXP(-1*AO29*(AO20-AO26)/365)-2*IF(AO$25="C",AO27*EXP(AO28*(AO20-AO26)/365)*NORMDIST((LN(AO27*EXP(AO28*(AO20-AO26)/365)/AO19)+0.5*AO32*AO32*(AO20-AO26)/365)/AO32/SQRT((AO20-AO26)/365),0,1,TRUE)-AO19*NORMDIST((LN(AO27*EXP(AO28*(AO20-AO26)/365)/AO19)-0.5*AO32*AO32*(AO20-AO26)/365)/AO32/SQRT((AO20-AO26)/365),0,1,TRUE),IF(AO$25="P",-1*AO27*EXP(AO28*(AO20-AO26)/365)*NORMDIST((-1*LN(AO27*EXP(AO28*(AO20-AO26)/365)/AO19)-0.5*AO32*AO32*(AO20-AO26)/365)/AO32/SQRT((AO20-AO26)/365),0,1,TRUE)+AO19*NORMDIST((-1*LN(AO27*EXP(AO28*(AO20-AO26)/365)/AO19)+0.5*AO32*AO32*(AO20-AO26)/365)/AO32/SQRT((AO20-AO26)/365),0,1,TRUE),0))*EXP(-1*AO29*(AO20-AO26)/365)</f>
        <v>0</v>
      </c>
      <c r="AP50" s="253">
        <f t="shared" ref="AP50:AU50" ca="1" si="292">IF(AP$25="C",(AP27+1)*EXP(AP28*(AP20-AP26)/365)*NORMDIST((LN((AP27+1)*EXP(AP28*(AP20-AP26)/365)/AP19)+0.5*AP32*AP32*(AP20-AP26)/365)/AP32/SQRT((AP20-AP26)/365),0,1,TRUE)-AP19*NORMDIST((LN((AP27+1)*EXP(AP28*(AP20-AP26)/365)/AP19)-0.5*AP32*AP32*(AP20-AP26)/365)/AP32/SQRT((AP20-AP26)/365),0,1,TRUE),IF(AP$25="P",-1*(AP27+1)*EXP(AP28*(AP20-AP26)/365)*NORMDIST((-1*LN((AP27+1)*EXP(AP28*(AP20-AP26)/365)/AP19)-0.5*AP32*AP32*(AP20-AP26)/365)/AP32/SQRT((AP20-AP26)/365),0,1,TRUE)+AP19*NORMDIST((-1*LN((AP27+1)*EXP(AP28*(AP20-AP26)/365)/AP19)+0.5*AP32*AP32*(AP20-AP26)/365)/AP32/SQRT((AP20-AP26)/365),0,1,TRUE),0))*EXP(-1*AP29*(AP20-AP26)/365)+IF(AP$25="C",(AP27-1)*EXP(AP28*(AP20-AP26)/365)*NORMDIST((LN((AP27-1)*EXP(AP28*(AP20-AP26)/365)/AP19)+0.5*AP32*AP32*(AP20-AP26)/365)/AP32/SQRT((AP20-AP26)/365),0,1,TRUE)-AP19*NORMDIST((LN((AP27-1)*EXP(AP28*(AP20-AP26)/365)/AP19)-0.5*AP32*AP32*(AP20-AP26)/365)/AP32/SQRT((AP20-AP26)/365),0,1,TRUE),IF(AP$25="P",-1*(AP27-1)*EXP(AP28*(AP20-AP26)/365)*NORMDIST((-1*LN((AP27-1)*EXP(AP28*(AP20-AP26)/365)/AP19)-0.5*AP32*AP32*(AP20-AP26)/365)/AP32/SQRT((AP20-AP26)/365),0,1,TRUE)+AP19*NORMDIST((-1*LN((AP27-1)*EXP(AP28*(AP20-AP26)/365)/AP19)+0.5*AP32*AP32*(AP20-AP26)/365)/AP32/SQRT((AP20-AP26)/365),0,1,TRUE),0))*EXP(-1*AP29*(AP20-AP26)/365)-2*IF(AP$25="C",AP27*EXP(AP28*(AP20-AP26)/365)*NORMDIST((LN(AP27*EXP(AP28*(AP20-AP26)/365)/AP19)+0.5*AP32*AP32*(AP20-AP26)/365)/AP32/SQRT((AP20-AP26)/365),0,1,TRUE)-AP19*NORMDIST((LN(AP27*EXP(AP28*(AP20-AP26)/365)/AP19)-0.5*AP32*AP32*(AP20-AP26)/365)/AP32/SQRT((AP20-AP26)/365),0,1,TRUE),IF(AP$25="P",-1*AP27*EXP(AP28*(AP20-AP26)/365)*NORMDIST((-1*LN(AP27*EXP(AP28*(AP20-AP26)/365)/AP19)-0.5*AP32*AP32*(AP20-AP26)/365)/AP32/SQRT((AP20-AP26)/365),0,1,TRUE)+AP19*NORMDIST((-1*LN(AP27*EXP(AP28*(AP20-AP26)/365)/AP19)+0.5*AP32*AP32*(AP20-AP26)/365)/AP32/SQRT((AP20-AP26)/365),0,1,TRUE),0))*EXP(-1*AP29*(AP20-AP26)/365)</f>
        <v>3.8862631299707573E-6</v>
      </c>
      <c r="AQ50" s="253">
        <f t="shared" ca="1" si="292"/>
        <v>3.780363840633072E-6</v>
      </c>
      <c r="AR50" s="253">
        <f t="shared" ca="1" si="292"/>
        <v>3.6666342566604726E-6</v>
      </c>
      <c r="AS50" s="253">
        <f t="shared" ca="1" si="292"/>
        <v>3.5463772292132489E-6</v>
      </c>
      <c r="AT50" s="253">
        <f t="shared" ca="1" si="292"/>
        <v>3.4374443202978E-6</v>
      </c>
      <c r="AU50" s="253">
        <f t="shared" ca="1" si="292"/>
        <v>3.339534487167839E-6</v>
      </c>
      <c r="AV50" s="253">
        <f t="shared" ref="AV50:AW50" si="293">IF(AV$25="C",(AV27+1)*EXP(AV28*(AV20-AV26)/365)*NORMDIST((LN((AV27+1)*EXP(AV28*(AV20-AV26)/365)/AV19)+0.5*AV32*AV32*(AV20-AV26)/365)/AV32/SQRT((AV20-AV26)/365),0,1,TRUE)-AV19*NORMDIST((LN((AV27+1)*EXP(AV28*(AV20-AV26)/365)/AV19)-0.5*AV32*AV32*(AV20-AV26)/365)/AV32/SQRT((AV20-AV26)/365),0,1,TRUE),IF(AV$25="P",-1*(AV27+1)*EXP(AV28*(AV20-AV26)/365)*NORMDIST((-1*LN((AV27+1)*EXP(AV28*(AV20-AV26)/365)/AV19)-0.5*AV32*AV32*(AV20-AV26)/365)/AV32/SQRT((AV20-AV26)/365),0,1,TRUE)+AV19*NORMDIST((-1*LN((AV27+1)*EXP(AV28*(AV20-AV26)/365)/AV19)+0.5*AV32*AV32*(AV20-AV26)/365)/AV32/SQRT((AV20-AV26)/365),0,1,TRUE),0))*EXP(-1*AV29*(AV20-AV26)/365)+IF(AV$25="C",(AV27-1)*EXP(AV28*(AV20-AV26)/365)*NORMDIST((LN((AV27-1)*EXP(AV28*(AV20-AV26)/365)/AV19)+0.5*AV32*AV32*(AV20-AV26)/365)/AV32/SQRT((AV20-AV26)/365),0,1,TRUE)-AV19*NORMDIST((LN((AV27-1)*EXP(AV28*(AV20-AV26)/365)/AV19)-0.5*AV32*AV32*(AV20-AV26)/365)/AV32/SQRT((AV20-AV26)/365),0,1,TRUE),IF(AV$25="P",-1*(AV27-1)*EXP(AV28*(AV20-AV26)/365)*NORMDIST((-1*LN((AV27-1)*EXP(AV28*(AV20-AV26)/365)/AV19)-0.5*AV32*AV32*(AV20-AV26)/365)/AV32/SQRT((AV20-AV26)/365),0,1,TRUE)+AV19*NORMDIST((-1*LN((AV27-1)*EXP(AV28*(AV20-AV26)/365)/AV19)+0.5*AV32*AV32*(AV20-AV26)/365)/AV32/SQRT((AV20-AV26)/365),0,1,TRUE),0))*EXP(-1*AV29*(AV20-AV26)/365)-2*IF(AV$25="C",AV27*EXP(AV28*(AV20-AV26)/365)*NORMDIST((LN(AV27*EXP(AV28*(AV20-AV26)/365)/AV19)+0.5*AV32*AV32*(AV20-AV26)/365)/AV32/SQRT((AV20-AV26)/365),0,1,TRUE)-AV19*NORMDIST((LN(AV27*EXP(AV28*(AV20-AV26)/365)/AV19)-0.5*AV32*AV32*(AV20-AV26)/365)/AV32/SQRT((AV20-AV26)/365),0,1,TRUE),IF(AV$25="P",-1*AV27*EXP(AV28*(AV20-AV26)/365)*NORMDIST((-1*LN(AV27*EXP(AV28*(AV20-AV26)/365)/AV19)-0.5*AV32*AV32*(AV20-AV26)/365)/AV32/SQRT((AV20-AV26)/365),0,1,TRUE)+AV19*NORMDIST((-1*LN(AV27*EXP(AV28*(AV20-AV26)/365)/AV19)+0.5*AV32*AV32*(AV20-AV26)/365)/AV32/SQRT((AV20-AV26)/365),0,1,TRUE),0))*EXP(-1*AV29*(AV20-AV26)/365)</f>
        <v>0</v>
      </c>
      <c r="AW50" s="253">
        <f t="shared" si="293"/>
        <v>0</v>
      </c>
      <c r="AX50" s="253">
        <f t="shared" ref="AX50:CI50" ca="1" si="294">IF(AX$25="C",(AX27+1)*EXP(AX28*(AX20-AX26)/365)*NORMDIST((LN((AX27+1)*EXP(AX28*(AX20-AX26)/365)/AX19)+0.5*AX32*AX32*(AX20-AX26)/365)/AX32/SQRT((AX20-AX26)/365),0,1,TRUE)-AX19*NORMDIST((LN((AX27+1)*EXP(AX28*(AX20-AX26)/365)/AX19)-0.5*AX32*AX32*(AX20-AX26)/365)/AX32/SQRT((AX20-AX26)/365),0,1,TRUE),IF(AX$25="P",-1*(AX27+1)*EXP(AX28*(AX20-AX26)/365)*NORMDIST((-1*LN((AX27+1)*EXP(AX28*(AX20-AX26)/365)/AX19)-0.5*AX32*AX32*(AX20-AX26)/365)/AX32/SQRT((AX20-AX26)/365),0,1,TRUE)+AX19*NORMDIST((-1*LN((AX27+1)*EXP(AX28*(AX20-AX26)/365)/AX19)+0.5*AX32*AX32*(AX20-AX26)/365)/AX32/SQRT((AX20-AX26)/365),0,1,TRUE),0))*EXP(-1*AX29*(AX20-AX26)/365)+IF(AX$25="C",(AX27-1)*EXP(AX28*(AX20-AX26)/365)*NORMDIST((LN((AX27-1)*EXP(AX28*(AX20-AX26)/365)/AX19)+0.5*AX32*AX32*(AX20-AX26)/365)/AX32/SQRT((AX20-AX26)/365),0,1,TRUE)-AX19*NORMDIST((LN((AX27-1)*EXP(AX28*(AX20-AX26)/365)/AX19)-0.5*AX32*AX32*(AX20-AX26)/365)/AX32/SQRT((AX20-AX26)/365),0,1,TRUE),IF(AX$25="P",-1*(AX27-1)*EXP(AX28*(AX20-AX26)/365)*NORMDIST((-1*LN((AX27-1)*EXP(AX28*(AX20-AX26)/365)/AX19)-0.5*AX32*AX32*(AX20-AX26)/365)/AX32/SQRT((AX20-AX26)/365),0,1,TRUE)+AX19*NORMDIST((-1*LN((AX27-1)*EXP(AX28*(AX20-AX26)/365)/AX19)+0.5*AX32*AX32*(AX20-AX26)/365)/AX32/SQRT((AX20-AX26)/365),0,1,TRUE),0))*EXP(-1*AX29*(AX20-AX26)/365)-2*IF(AX$25="C",AX27*EXP(AX28*(AX20-AX26)/365)*NORMDIST((LN(AX27*EXP(AX28*(AX20-AX26)/365)/AX19)+0.5*AX32*AX32*(AX20-AX26)/365)/AX32/SQRT((AX20-AX26)/365),0,1,TRUE)-AX19*NORMDIST((LN(AX27*EXP(AX28*(AX20-AX26)/365)/AX19)-0.5*AX32*AX32*(AX20-AX26)/365)/AX32/SQRT((AX20-AX26)/365),0,1,TRUE),IF(AX$25="P",-1*AX27*EXP(AX28*(AX20-AX26)/365)*NORMDIST((-1*LN(AX27*EXP(AX28*(AX20-AX26)/365)/AX19)-0.5*AX32*AX32*(AX20-AX26)/365)/AX32/SQRT((AX20-AX26)/365),0,1,TRUE)+AX19*NORMDIST((-1*LN(AX27*EXP(AX28*(AX20-AX26)/365)/AX19)+0.5*AX32*AX32*(AX20-AX26)/365)/AX32/SQRT((AX20-AX26)/365),0,1,TRUE),0))*EXP(-1*AX29*(AX20-AX26)/365)</f>
        <v>1.7841870430856943E-5</v>
      </c>
      <c r="AY50" s="253">
        <f t="shared" ca="1" si="294"/>
        <v>1.761599924066104E-5</v>
      </c>
      <c r="AZ50" s="253">
        <f t="shared" ca="1" si="294"/>
        <v>1.7307957023149356E-5</v>
      </c>
      <c r="BA50" s="253">
        <f t="shared" ca="1" si="294"/>
        <v>1.6922233044169843E-5</v>
      </c>
      <c r="BB50" s="253">
        <f t="shared" ca="1" si="294"/>
        <v>1.652846549404785E-5</v>
      </c>
      <c r="BC50" s="253">
        <f t="shared" ca="1" si="294"/>
        <v>1.6143920220201835E-5</v>
      </c>
      <c r="BD50" s="253">
        <f t="shared" ref="BD50:BE50" si="295">IF(BD$25="C",(BD27+1)*EXP(BD28*(BD20-BD26)/365)*NORMDIST((LN((BD27+1)*EXP(BD28*(BD20-BD26)/365)/BD19)+0.5*BD32*BD32*(BD20-BD26)/365)/BD32/SQRT((BD20-BD26)/365),0,1,TRUE)-BD19*NORMDIST((LN((BD27+1)*EXP(BD28*(BD20-BD26)/365)/BD19)-0.5*BD32*BD32*(BD20-BD26)/365)/BD32/SQRT((BD20-BD26)/365),0,1,TRUE),IF(BD$25="P",-1*(BD27+1)*EXP(BD28*(BD20-BD26)/365)*NORMDIST((-1*LN((BD27+1)*EXP(BD28*(BD20-BD26)/365)/BD19)-0.5*BD32*BD32*(BD20-BD26)/365)/BD32/SQRT((BD20-BD26)/365),0,1,TRUE)+BD19*NORMDIST((-1*LN((BD27+1)*EXP(BD28*(BD20-BD26)/365)/BD19)+0.5*BD32*BD32*(BD20-BD26)/365)/BD32/SQRT((BD20-BD26)/365),0,1,TRUE),0))*EXP(-1*BD29*(BD20-BD26)/365)+IF(BD$25="C",(BD27-1)*EXP(BD28*(BD20-BD26)/365)*NORMDIST((LN((BD27-1)*EXP(BD28*(BD20-BD26)/365)/BD19)+0.5*BD32*BD32*(BD20-BD26)/365)/BD32/SQRT((BD20-BD26)/365),0,1,TRUE)-BD19*NORMDIST((LN((BD27-1)*EXP(BD28*(BD20-BD26)/365)/BD19)-0.5*BD32*BD32*(BD20-BD26)/365)/BD32/SQRT((BD20-BD26)/365),0,1,TRUE),IF(BD$25="P",-1*(BD27-1)*EXP(BD28*(BD20-BD26)/365)*NORMDIST((-1*LN((BD27-1)*EXP(BD28*(BD20-BD26)/365)/BD19)-0.5*BD32*BD32*(BD20-BD26)/365)/BD32/SQRT((BD20-BD26)/365),0,1,TRUE)+BD19*NORMDIST((-1*LN((BD27-1)*EXP(BD28*(BD20-BD26)/365)/BD19)+0.5*BD32*BD32*(BD20-BD26)/365)/BD32/SQRT((BD20-BD26)/365),0,1,TRUE),0))*EXP(-1*BD29*(BD20-BD26)/365)-2*IF(BD$25="C",BD27*EXP(BD28*(BD20-BD26)/365)*NORMDIST((LN(BD27*EXP(BD28*(BD20-BD26)/365)/BD19)+0.5*BD32*BD32*(BD20-BD26)/365)/BD32/SQRT((BD20-BD26)/365),0,1,TRUE)-BD19*NORMDIST((LN(BD27*EXP(BD28*(BD20-BD26)/365)/BD19)-0.5*BD32*BD32*(BD20-BD26)/365)/BD32/SQRT((BD20-BD26)/365),0,1,TRUE),IF(BD$25="P",-1*BD27*EXP(BD28*(BD20-BD26)/365)*NORMDIST((-1*LN(BD27*EXP(BD28*(BD20-BD26)/365)/BD19)-0.5*BD32*BD32*(BD20-BD26)/365)/BD32/SQRT((BD20-BD26)/365),0,1,TRUE)+BD19*NORMDIST((-1*LN(BD27*EXP(BD28*(BD20-BD26)/365)/BD19)+0.5*BD32*BD32*(BD20-BD26)/365)/BD32/SQRT((BD20-BD26)/365),0,1,TRUE),0))*EXP(-1*BD29*(BD20-BD26)/365)</f>
        <v>0</v>
      </c>
      <c r="BE50" s="253">
        <f t="shared" si="295"/>
        <v>0</v>
      </c>
      <c r="BF50" s="253">
        <f t="shared" ca="1" si="294"/>
        <v>1.8199323676526546E-5</v>
      </c>
      <c r="BG50" s="253">
        <f t="shared" ca="1" si="294"/>
        <v>1.76153116626665E-5</v>
      </c>
      <c r="BH50" s="253">
        <f t="shared" ca="1" si="294"/>
        <v>1.698565756669268E-5</v>
      </c>
      <c r="BI50" s="253">
        <f t="shared" ca="1" si="294"/>
        <v>1.6318401321768761E-5</v>
      </c>
      <c r="BJ50" s="253">
        <f t="shared" ca="1" si="294"/>
        <v>1.571332904859446E-5</v>
      </c>
      <c r="BK50" s="253">
        <f t="shared" ca="1" si="294"/>
        <v>1.516968768555671E-5</v>
      </c>
      <c r="BL50" s="253">
        <f t="shared" ref="BL50:BM50" si="296">IF(BL$25="C",(BL27+1)*EXP(BL28*(BL20-BL26)/365)*NORMDIST((LN((BL27+1)*EXP(BL28*(BL20-BL26)/365)/BL19)+0.5*BL32*BL32*(BL20-BL26)/365)/BL32/SQRT((BL20-BL26)/365),0,1,TRUE)-BL19*NORMDIST((LN((BL27+1)*EXP(BL28*(BL20-BL26)/365)/BL19)-0.5*BL32*BL32*(BL20-BL26)/365)/BL32/SQRT((BL20-BL26)/365),0,1,TRUE),IF(BL$25="P",-1*(BL27+1)*EXP(BL28*(BL20-BL26)/365)*NORMDIST((-1*LN((BL27+1)*EXP(BL28*(BL20-BL26)/365)/BL19)-0.5*BL32*BL32*(BL20-BL26)/365)/BL32/SQRT((BL20-BL26)/365),0,1,TRUE)+BL19*NORMDIST((-1*LN((BL27+1)*EXP(BL28*(BL20-BL26)/365)/BL19)+0.5*BL32*BL32*(BL20-BL26)/365)/BL32/SQRT((BL20-BL26)/365),0,1,TRUE),0))*EXP(-1*BL29*(BL20-BL26)/365)+IF(BL$25="C",(BL27-1)*EXP(BL28*(BL20-BL26)/365)*NORMDIST((LN((BL27-1)*EXP(BL28*(BL20-BL26)/365)/BL19)+0.5*BL32*BL32*(BL20-BL26)/365)/BL32/SQRT((BL20-BL26)/365),0,1,TRUE)-BL19*NORMDIST((LN((BL27-1)*EXP(BL28*(BL20-BL26)/365)/BL19)-0.5*BL32*BL32*(BL20-BL26)/365)/BL32/SQRT((BL20-BL26)/365),0,1,TRUE),IF(BL$25="P",-1*(BL27-1)*EXP(BL28*(BL20-BL26)/365)*NORMDIST((-1*LN((BL27-1)*EXP(BL28*(BL20-BL26)/365)/BL19)-0.5*BL32*BL32*(BL20-BL26)/365)/BL32/SQRT((BL20-BL26)/365),0,1,TRUE)+BL19*NORMDIST((-1*LN((BL27-1)*EXP(BL28*(BL20-BL26)/365)/BL19)+0.5*BL32*BL32*(BL20-BL26)/365)/BL32/SQRT((BL20-BL26)/365),0,1,TRUE),0))*EXP(-1*BL29*(BL20-BL26)/365)-2*IF(BL$25="C",BL27*EXP(BL28*(BL20-BL26)/365)*NORMDIST((LN(BL27*EXP(BL28*(BL20-BL26)/365)/BL19)+0.5*BL32*BL32*(BL20-BL26)/365)/BL32/SQRT((BL20-BL26)/365),0,1,TRUE)-BL19*NORMDIST((LN(BL27*EXP(BL28*(BL20-BL26)/365)/BL19)-0.5*BL32*BL32*(BL20-BL26)/365)/BL32/SQRT((BL20-BL26)/365),0,1,TRUE),IF(BL$25="P",-1*BL27*EXP(BL28*(BL20-BL26)/365)*NORMDIST((-1*LN(BL27*EXP(BL28*(BL20-BL26)/365)/BL19)-0.5*BL32*BL32*(BL20-BL26)/365)/BL32/SQRT((BL20-BL26)/365),0,1,TRUE)+BL19*NORMDIST((-1*LN(BL27*EXP(BL28*(BL20-BL26)/365)/BL19)+0.5*BL32*BL32*(BL20-BL26)/365)/BL32/SQRT((BL20-BL26)/365),0,1,TRUE),0))*EXP(-1*BL29*(BL20-BL26)/365)</f>
        <v>0</v>
      </c>
      <c r="BM50" s="253">
        <f t="shared" si="296"/>
        <v>0</v>
      </c>
      <c r="BN50" s="253">
        <f t="shared" ca="1" si="294"/>
        <v>1.8046561308437958E-5</v>
      </c>
      <c r="BO50" s="253">
        <f t="shared" ca="1" si="294"/>
        <v>1.7411708540748805E-5</v>
      </c>
      <c r="BP50" s="253">
        <f t="shared" ca="1" si="294"/>
        <v>1.6738958947826177E-5</v>
      </c>
      <c r="BQ50" s="253">
        <f t="shared" ca="1" si="294"/>
        <v>1.603643613634631E-5</v>
      </c>
      <c r="BR50" s="253">
        <f t="shared" ca="1" si="294"/>
        <v>1.540697121527046E-5</v>
      </c>
      <c r="BS50" s="253">
        <f t="shared" ca="1" si="294"/>
        <v>1.4846540580037981E-5</v>
      </c>
      <c r="BT50" s="253">
        <f t="shared" ref="BT50:BU50" si="297">IF(BT$25="C",(BT27+1)*EXP(BT28*(BT20-BT26)/365)*NORMDIST((LN((BT27+1)*EXP(BT28*(BT20-BT26)/365)/BT19)+0.5*BT32*BT32*(BT20-BT26)/365)/BT32/SQRT((BT20-BT26)/365),0,1,TRUE)-BT19*NORMDIST((LN((BT27+1)*EXP(BT28*(BT20-BT26)/365)/BT19)-0.5*BT32*BT32*(BT20-BT26)/365)/BT32/SQRT((BT20-BT26)/365),0,1,TRUE),IF(BT$25="P",-1*(BT27+1)*EXP(BT28*(BT20-BT26)/365)*NORMDIST((-1*LN((BT27+1)*EXP(BT28*(BT20-BT26)/365)/BT19)-0.5*BT32*BT32*(BT20-BT26)/365)/BT32/SQRT((BT20-BT26)/365),0,1,TRUE)+BT19*NORMDIST((-1*LN((BT27+1)*EXP(BT28*(BT20-BT26)/365)/BT19)+0.5*BT32*BT32*(BT20-BT26)/365)/BT32/SQRT((BT20-BT26)/365),0,1,TRUE),0))*EXP(-1*BT29*(BT20-BT26)/365)+IF(BT$25="C",(BT27-1)*EXP(BT28*(BT20-BT26)/365)*NORMDIST((LN((BT27-1)*EXP(BT28*(BT20-BT26)/365)/BT19)+0.5*BT32*BT32*(BT20-BT26)/365)/BT32/SQRT((BT20-BT26)/365),0,1,TRUE)-BT19*NORMDIST((LN((BT27-1)*EXP(BT28*(BT20-BT26)/365)/BT19)-0.5*BT32*BT32*(BT20-BT26)/365)/BT32/SQRT((BT20-BT26)/365),0,1,TRUE),IF(BT$25="P",-1*(BT27-1)*EXP(BT28*(BT20-BT26)/365)*NORMDIST((-1*LN((BT27-1)*EXP(BT28*(BT20-BT26)/365)/BT19)-0.5*BT32*BT32*(BT20-BT26)/365)/BT32/SQRT((BT20-BT26)/365),0,1,TRUE)+BT19*NORMDIST((-1*LN((BT27-1)*EXP(BT28*(BT20-BT26)/365)/BT19)+0.5*BT32*BT32*(BT20-BT26)/365)/BT32/SQRT((BT20-BT26)/365),0,1,TRUE),0))*EXP(-1*BT29*(BT20-BT26)/365)-2*IF(BT$25="C",BT27*EXP(BT28*(BT20-BT26)/365)*NORMDIST((LN(BT27*EXP(BT28*(BT20-BT26)/365)/BT19)+0.5*BT32*BT32*(BT20-BT26)/365)/BT32/SQRT((BT20-BT26)/365),0,1,TRUE)-BT19*NORMDIST((LN(BT27*EXP(BT28*(BT20-BT26)/365)/BT19)-0.5*BT32*BT32*(BT20-BT26)/365)/BT32/SQRT((BT20-BT26)/365),0,1,TRUE),IF(BT$25="P",-1*BT27*EXP(BT28*(BT20-BT26)/365)*NORMDIST((-1*LN(BT27*EXP(BT28*(BT20-BT26)/365)/BT19)-0.5*BT32*BT32*(BT20-BT26)/365)/BT32/SQRT((BT20-BT26)/365),0,1,TRUE)+BT19*NORMDIST((-1*LN(BT27*EXP(BT28*(BT20-BT26)/365)/BT19)+0.5*BT32*BT32*(BT20-BT26)/365)/BT32/SQRT((BT20-BT26)/365),0,1,TRUE),0))*EXP(-1*BT29*(BT20-BT26)/365)</f>
        <v>0</v>
      </c>
      <c r="BU50" s="253">
        <f t="shared" si="297"/>
        <v>0</v>
      </c>
      <c r="BV50" s="253">
        <f t="shared" ca="1" si="294"/>
        <v>7.1812746682553552E-6</v>
      </c>
      <c r="BW50" s="253">
        <f t="shared" ca="1" si="294"/>
        <v>6.8652725531137548E-6</v>
      </c>
      <c r="BX50" s="253">
        <f t="shared" ca="1" si="294"/>
        <v>6.5480680859764107E-6</v>
      </c>
      <c r="BY50" s="253">
        <f t="shared" ca="1" si="294"/>
        <v>6.232311534404289E-6</v>
      </c>
      <c r="BZ50" s="253">
        <f t="shared" ca="1" si="294"/>
        <v>5.9603480622172356E-6</v>
      </c>
      <c r="CA50" s="253">
        <f t="shared" ca="1" si="294"/>
        <v>5.7255792853538878E-6</v>
      </c>
      <c r="CB50" s="253">
        <f t="shared" ref="CB50:CC50" si="298">IF(CB$25="C",(CB27+1)*EXP(CB28*(CB20-CB26)/365)*NORMDIST((LN((CB27+1)*EXP(CB28*(CB20-CB26)/365)/CB19)+0.5*CB32*CB32*(CB20-CB26)/365)/CB32/SQRT((CB20-CB26)/365),0,1,TRUE)-CB19*NORMDIST((LN((CB27+1)*EXP(CB28*(CB20-CB26)/365)/CB19)-0.5*CB32*CB32*(CB20-CB26)/365)/CB32/SQRT((CB20-CB26)/365),0,1,TRUE),IF(CB$25="P",-1*(CB27+1)*EXP(CB28*(CB20-CB26)/365)*NORMDIST((-1*LN((CB27+1)*EXP(CB28*(CB20-CB26)/365)/CB19)-0.5*CB32*CB32*(CB20-CB26)/365)/CB32/SQRT((CB20-CB26)/365),0,1,TRUE)+CB19*NORMDIST((-1*LN((CB27+1)*EXP(CB28*(CB20-CB26)/365)/CB19)+0.5*CB32*CB32*(CB20-CB26)/365)/CB32/SQRT((CB20-CB26)/365),0,1,TRUE),0))*EXP(-1*CB29*(CB20-CB26)/365)+IF(CB$25="C",(CB27-1)*EXP(CB28*(CB20-CB26)/365)*NORMDIST((LN((CB27-1)*EXP(CB28*(CB20-CB26)/365)/CB19)+0.5*CB32*CB32*(CB20-CB26)/365)/CB32/SQRT((CB20-CB26)/365),0,1,TRUE)-CB19*NORMDIST((LN((CB27-1)*EXP(CB28*(CB20-CB26)/365)/CB19)-0.5*CB32*CB32*(CB20-CB26)/365)/CB32/SQRT((CB20-CB26)/365),0,1,TRUE),IF(CB$25="P",-1*(CB27-1)*EXP(CB28*(CB20-CB26)/365)*NORMDIST((-1*LN((CB27-1)*EXP(CB28*(CB20-CB26)/365)/CB19)-0.5*CB32*CB32*(CB20-CB26)/365)/CB32/SQRT((CB20-CB26)/365),0,1,TRUE)+CB19*NORMDIST((-1*LN((CB27-1)*EXP(CB28*(CB20-CB26)/365)/CB19)+0.5*CB32*CB32*(CB20-CB26)/365)/CB32/SQRT((CB20-CB26)/365),0,1,TRUE),0))*EXP(-1*CB29*(CB20-CB26)/365)-2*IF(CB$25="C",CB27*EXP(CB28*(CB20-CB26)/365)*NORMDIST((LN(CB27*EXP(CB28*(CB20-CB26)/365)/CB19)+0.5*CB32*CB32*(CB20-CB26)/365)/CB32/SQRT((CB20-CB26)/365),0,1,TRUE)-CB19*NORMDIST((LN(CB27*EXP(CB28*(CB20-CB26)/365)/CB19)-0.5*CB32*CB32*(CB20-CB26)/365)/CB32/SQRT((CB20-CB26)/365),0,1,TRUE),IF(CB$25="P",-1*CB27*EXP(CB28*(CB20-CB26)/365)*NORMDIST((-1*LN(CB27*EXP(CB28*(CB20-CB26)/365)/CB19)-0.5*CB32*CB32*(CB20-CB26)/365)/CB32/SQRT((CB20-CB26)/365),0,1,TRUE)+CB19*NORMDIST((-1*LN(CB27*EXP(CB28*(CB20-CB26)/365)/CB19)+0.5*CB32*CB32*(CB20-CB26)/365)/CB32/SQRT((CB20-CB26)/365),0,1,TRUE),0))*EXP(-1*CB29*(CB20-CB26)/365)</f>
        <v>0</v>
      </c>
      <c r="CC50" s="253">
        <f t="shared" si="298"/>
        <v>0</v>
      </c>
      <c r="CD50" s="253">
        <f t="shared" ca="1" si="294"/>
        <v>6.9203333623590879E-6</v>
      </c>
      <c r="CE50" s="253">
        <f t="shared" ca="1" si="294"/>
        <v>6.6216152845299803E-6</v>
      </c>
      <c r="CF50" s="253">
        <f t="shared" ca="1" si="294"/>
        <v>6.3210345615516417E-6</v>
      </c>
      <c r="CG50" s="253">
        <f t="shared" ca="1" si="294"/>
        <v>6.0211541494936682E-6</v>
      </c>
      <c r="CH50" s="253">
        <f t="shared" ca="1" si="294"/>
        <v>5.7623910834081471E-6</v>
      </c>
      <c r="CI50" s="253">
        <f t="shared" ca="1" si="294"/>
        <v>5.5386490203090943E-6</v>
      </c>
      <c r="CJ50" s="253">
        <f t="shared" ref="CJ50:CK50" si="299">IF(CJ$25="C",(CJ27+1)*EXP(CJ28*(CJ20-CJ26)/365)*NORMDIST((LN((CJ27+1)*EXP(CJ28*(CJ20-CJ26)/365)/CJ19)+0.5*CJ32*CJ32*(CJ20-CJ26)/365)/CJ32/SQRT((CJ20-CJ26)/365),0,1,TRUE)-CJ19*NORMDIST((LN((CJ27+1)*EXP(CJ28*(CJ20-CJ26)/365)/CJ19)-0.5*CJ32*CJ32*(CJ20-CJ26)/365)/CJ32/SQRT((CJ20-CJ26)/365),0,1,TRUE),IF(CJ$25="P",-1*(CJ27+1)*EXP(CJ28*(CJ20-CJ26)/365)*NORMDIST((-1*LN((CJ27+1)*EXP(CJ28*(CJ20-CJ26)/365)/CJ19)-0.5*CJ32*CJ32*(CJ20-CJ26)/365)/CJ32/SQRT((CJ20-CJ26)/365),0,1,TRUE)+CJ19*NORMDIST((-1*LN((CJ27+1)*EXP(CJ28*(CJ20-CJ26)/365)/CJ19)+0.5*CJ32*CJ32*(CJ20-CJ26)/365)/CJ32/SQRT((CJ20-CJ26)/365),0,1,TRUE),0))*EXP(-1*CJ29*(CJ20-CJ26)/365)+IF(CJ$25="C",(CJ27-1)*EXP(CJ28*(CJ20-CJ26)/365)*NORMDIST((LN((CJ27-1)*EXP(CJ28*(CJ20-CJ26)/365)/CJ19)+0.5*CJ32*CJ32*(CJ20-CJ26)/365)/CJ32/SQRT((CJ20-CJ26)/365),0,1,TRUE)-CJ19*NORMDIST((LN((CJ27-1)*EXP(CJ28*(CJ20-CJ26)/365)/CJ19)-0.5*CJ32*CJ32*(CJ20-CJ26)/365)/CJ32/SQRT((CJ20-CJ26)/365),0,1,TRUE),IF(CJ$25="P",-1*(CJ27-1)*EXP(CJ28*(CJ20-CJ26)/365)*NORMDIST((-1*LN((CJ27-1)*EXP(CJ28*(CJ20-CJ26)/365)/CJ19)-0.5*CJ32*CJ32*(CJ20-CJ26)/365)/CJ32/SQRT((CJ20-CJ26)/365),0,1,TRUE)+CJ19*NORMDIST((-1*LN((CJ27-1)*EXP(CJ28*(CJ20-CJ26)/365)/CJ19)+0.5*CJ32*CJ32*(CJ20-CJ26)/365)/CJ32/SQRT((CJ20-CJ26)/365),0,1,TRUE),0))*EXP(-1*CJ29*(CJ20-CJ26)/365)-2*IF(CJ$25="C",CJ27*EXP(CJ28*(CJ20-CJ26)/365)*NORMDIST((LN(CJ27*EXP(CJ28*(CJ20-CJ26)/365)/CJ19)+0.5*CJ32*CJ32*(CJ20-CJ26)/365)/CJ32/SQRT((CJ20-CJ26)/365),0,1,TRUE)-CJ19*NORMDIST((LN(CJ27*EXP(CJ28*(CJ20-CJ26)/365)/CJ19)-0.5*CJ32*CJ32*(CJ20-CJ26)/365)/CJ32/SQRT((CJ20-CJ26)/365),0,1,TRUE),IF(CJ$25="P",-1*CJ27*EXP(CJ28*(CJ20-CJ26)/365)*NORMDIST((-1*LN(CJ27*EXP(CJ28*(CJ20-CJ26)/365)/CJ19)-0.5*CJ32*CJ32*(CJ20-CJ26)/365)/CJ32/SQRT((CJ20-CJ26)/365),0,1,TRUE)+CJ19*NORMDIST((-1*LN(CJ27*EXP(CJ28*(CJ20-CJ26)/365)/CJ19)+0.5*CJ32*CJ32*(CJ20-CJ26)/365)/CJ32/SQRT((CJ20-CJ26)/365),0,1,TRUE),0))*EXP(-1*CJ29*(CJ20-CJ26)/365)</f>
        <v>0</v>
      </c>
      <c r="CK50" s="253">
        <f t="shared" si="299"/>
        <v>0</v>
      </c>
      <c r="CL50" s="253">
        <f t="shared" ref="CL50:CQ50" ca="1" si="300">IF(CL$25="C",(CL27+1)*EXP(CL28*(CL20-CL26)/365)*NORMDIST((LN((CL27+1)*EXP(CL28*(CL20-CL26)/365)/CL19)+0.5*CL32*CL32*(CL20-CL26)/365)/CL32/SQRT((CL20-CL26)/365),0,1,TRUE)-CL19*NORMDIST((LN((CL27+1)*EXP(CL28*(CL20-CL26)/365)/CL19)-0.5*CL32*CL32*(CL20-CL26)/365)/CL32/SQRT((CL20-CL26)/365),0,1,TRUE),IF(CL$25="P",-1*(CL27+1)*EXP(CL28*(CL20-CL26)/365)*NORMDIST((-1*LN((CL27+1)*EXP(CL28*(CL20-CL26)/365)/CL19)-0.5*CL32*CL32*(CL20-CL26)/365)/CL32/SQRT((CL20-CL26)/365),0,1,TRUE)+CL19*NORMDIST((-1*LN((CL27+1)*EXP(CL28*(CL20-CL26)/365)/CL19)+0.5*CL32*CL32*(CL20-CL26)/365)/CL32/SQRT((CL20-CL26)/365),0,1,TRUE),0))*EXP(-1*CL29*(CL20-CL26)/365)+IF(CL$25="C",(CL27-1)*EXP(CL28*(CL20-CL26)/365)*NORMDIST((LN((CL27-1)*EXP(CL28*(CL20-CL26)/365)/CL19)+0.5*CL32*CL32*(CL20-CL26)/365)/CL32/SQRT((CL20-CL26)/365),0,1,TRUE)-CL19*NORMDIST((LN((CL27-1)*EXP(CL28*(CL20-CL26)/365)/CL19)-0.5*CL32*CL32*(CL20-CL26)/365)/CL32/SQRT((CL20-CL26)/365),0,1,TRUE),IF(CL$25="P",-1*(CL27-1)*EXP(CL28*(CL20-CL26)/365)*NORMDIST((-1*LN((CL27-1)*EXP(CL28*(CL20-CL26)/365)/CL19)-0.5*CL32*CL32*(CL20-CL26)/365)/CL32/SQRT((CL20-CL26)/365),0,1,TRUE)+CL19*NORMDIST((-1*LN((CL27-1)*EXP(CL28*(CL20-CL26)/365)/CL19)+0.5*CL32*CL32*(CL20-CL26)/365)/CL32/SQRT((CL20-CL26)/365),0,1,TRUE),0))*EXP(-1*CL29*(CL20-CL26)/365)-2*IF(CL$25="C",CL27*EXP(CL28*(CL20-CL26)/365)*NORMDIST((LN(CL27*EXP(CL28*(CL20-CL26)/365)/CL19)+0.5*CL32*CL32*(CL20-CL26)/365)/CL32/SQRT((CL20-CL26)/365),0,1,TRUE)-CL19*NORMDIST((LN(CL27*EXP(CL28*(CL20-CL26)/365)/CL19)-0.5*CL32*CL32*(CL20-CL26)/365)/CL32/SQRT((CL20-CL26)/365),0,1,TRUE),IF(CL$25="P",-1*CL27*EXP(CL28*(CL20-CL26)/365)*NORMDIST((-1*LN(CL27*EXP(CL28*(CL20-CL26)/365)/CL19)-0.5*CL32*CL32*(CL20-CL26)/365)/CL32/SQRT((CL20-CL26)/365),0,1,TRUE)+CL19*NORMDIST((-1*LN(CL27*EXP(CL28*(CL20-CL26)/365)/CL19)+0.5*CL32*CL32*(CL20-CL26)/365)/CL32/SQRT((CL20-CL26)/365),0,1,TRUE),0))*EXP(-1*CL29*(CL20-CL26)/365)</f>
        <v>3.8862631299707573E-6</v>
      </c>
      <c r="CM50" s="253">
        <f t="shared" ca="1" si="300"/>
        <v>3.780363840633072E-6</v>
      </c>
      <c r="CN50" s="253">
        <f t="shared" ca="1" si="300"/>
        <v>3.6666342566604726E-6</v>
      </c>
      <c r="CO50" s="253">
        <f t="shared" ca="1" si="300"/>
        <v>3.5463772292132489E-6</v>
      </c>
      <c r="CP50" s="253">
        <f t="shared" ca="1" si="300"/>
        <v>3.4374443202978E-6</v>
      </c>
      <c r="CQ50" s="253">
        <f t="shared" ca="1" si="300"/>
        <v>3.339534487167839E-6</v>
      </c>
      <c r="CR50" s="253">
        <f t="shared" ref="CR50:CS50" si="301">IF(CR$25="C",(CR27+1)*EXP(CR28*(CR20-CR26)/365)*NORMDIST((LN((CR27+1)*EXP(CR28*(CR20-CR26)/365)/CR19)+0.5*CR32*CR32*(CR20-CR26)/365)/CR32/SQRT((CR20-CR26)/365),0,1,TRUE)-CR19*NORMDIST((LN((CR27+1)*EXP(CR28*(CR20-CR26)/365)/CR19)-0.5*CR32*CR32*(CR20-CR26)/365)/CR32/SQRT((CR20-CR26)/365),0,1,TRUE),IF(CR$25="P",-1*(CR27+1)*EXP(CR28*(CR20-CR26)/365)*NORMDIST((-1*LN((CR27+1)*EXP(CR28*(CR20-CR26)/365)/CR19)-0.5*CR32*CR32*(CR20-CR26)/365)/CR32/SQRT((CR20-CR26)/365),0,1,TRUE)+CR19*NORMDIST((-1*LN((CR27+1)*EXP(CR28*(CR20-CR26)/365)/CR19)+0.5*CR32*CR32*(CR20-CR26)/365)/CR32/SQRT((CR20-CR26)/365),0,1,TRUE),0))*EXP(-1*CR29*(CR20-CR26)/365)+IF(CR$25="C",(CR27-1)*EXP(CR28*(CR20-CR26)/365)*NORMDIST((LN((CR27-1)*EXP(CR28*(CR20-CR26)/365)/CR19)+0.5*CR32*CR32*(CR20-CR26)/365)/CR32/SQRT((CR20-CR26)/365),0,1,TRUE)-CR19*NORMDIST((LN((CR27-1)*EXP(CR28*(CR20-CR26)/365)/CR19)-0.5*CR32*CR32*(CR20-CR26)/365)/CR32/SQRT((CR20-CR26)/365),0,1,TRUE),IF(CR$25="P",-1*(CR27-1)*EXP(CR28*(CR20-CR26)/365)*NORMDIST((-1*LN((CR27-1)*EXP(CR28*(CR20-CR26)/365)/CR19)-0.5*CR32*CR32*(CR20-CR26)/365)/CR32/SQRT((CR20-CR26)/365),0,1,TRUE)+CR19*NORMDIST((-1*LN((CR27-1)*EXP(CR28*(CR20-CR26)/365)/CR19)+0.5*CR32*CR32*(CR20-CR26)/365)/CR32/SQRT((CR20-CR26)/365),0,1,TRUE),0))*EXP(-1*CR29*(CR20-CR26)/365)-2*IF(CR$25="C",CR27*EXP(CR28*(CR20-CR26)/365)*NORMDIST((LN(CR27*EXP(CR28*(CR20-CR26)/365)/CR19)+0.5*CR32*CR32*(CR20-CR26)/365)/CR32/SQRT((CR20-CR26)/365),0,1,TRUE)-CR19*NORMDIST((LN(CR27*EXP(CR28*(CR20-CR26)/365)/CR19)-0.5*CR32*CR32*(CR20-CR26)/365)/CR32/SQRT((CR20-CR26)/365),0,1,TRUE),IF(CR$25="P",-1*CR27*EXP(CR28*(CR20-CR26)/365)*NORMDIST((-1*LN(CR27*EXP(CR28*(CR20-CR26)/365)/CR19)-0.5*CR32*CR32*(CR20-CR26)/365)/CR32/SQRT((CR20-CR26)/365),0,1,TRUE)+CR19*NORMDIST((-1*LN(CR27*EXP(CR28*(CR20-CR26)/365)/CR19)+0.5*CR32*CR32*(CR20-CR26)/365)/CR32/SQRT((CR20-CR26)/365),0,1,TRUE),0))*EXP(-1*CR29*(CR20-CR26)/365)</f>
        <v>0</v>
      </c>
      <c r="CS50" s="253">
        <f t="shared" si="301"/>
        <v>0</v>
      </c>
    </row>
    <row r="51" spans="1:97">
      <c r="A51" t="s">
        <v>11</v>
      </c>
      <c r="B51" s="254">
        <f t="shared" ref="B51:AJ51" ca="1" si="302">IF(B$25="C",B27*EXP(B28*(B20-B26-1)/365)*NORMDIST((LN(B27*EXP(B28*(B20-B26-1)/365)/B19)+0.5*B32*B32*(B20-B26-1)/365)/B32/SQRT((B20-B26-1)/365),0,1,TRUE)-B19*NORMDIST((LN(B27*EXP(B28*(B20-B26-1)/365)/B19)-0.5*B32*B32*(B20-B26-1)/365)/B32/SQRT((B20-B26-1)/365),0,1,TRUE),IF(B$25="P",-1*B27*EXP(B28*(B20-B26-1)/365)*NORMDIST((-1*LN(B27*EXP(B28*(B20-B26-1)/365)/B19)-0.5*B32*B32*(B20-B26-1)/365)/B32/SQRT((B20-B26-1)/365),0,1,TRUE)+B19*NORMDIST((-1*LN(B27*EXP(B28*(B20-B26-1)/365)/B19)+0.5*B32*B32*(B20-B26-1)/365)/B32/SQRT((B20-B26-1)/365),0,1,TRUE),0))*EXP(-1*B29*(B20-B26-1)/365)-IF(B$25="C",B27*EXP(B28*(B20-B26)/365)*NORMDIST((LN(B27*EXP(B28*(B20-B26)/365)/B19)+0.5*B32*B32*(B20-B26)/365)/B32/SQRT((B20-B26)/365),0,1,TRUE)-B19*NORMDIST((LN(B27*EXP(B28*(B20-B26)/365)/B19)-0.5*B32*B32*(B20-B26)/365)/B32/SQRT((B20-B26)/365),0,1,TRUE),IF(B$25="P",-1*B27*EXP(B28*(B20-B26)/365)*NORMDIST((-1*LN(B27*EXP(B28*(B20-B26)/365)/B19)-0.5*B32*B32*(B20-B26)/365)/B32/SQRT((B20-B26)/365),0,1,TRUE)+B19*NORMDIST((-1*LN(B27*EXP(B28*(B20-B26)/365)/B19)+0.5*B32*B32*(B20-B26)/365)/B32/SQRT((B20-B26)/365),0,1,TRUE),0))*EXP(-1*B29*(B20-B26)/365)</f>
        <v>6.8440011124530429</v>
      </c>
      <c r="C51" s="254">
        <f t="shared" ca="1" si="302"/>
        <v>6.4851599293633626</v>
      </c>
      <c r="D51" s="254">
        <f t="shared" ca="1" si="302"/>
        <v>6.1284502656217228</v>
      </c>
      <c r="E51" s="254">
        <f t="shared" ref="E51:F51" ca="1" si="303">IF(E$25="C",E27*EXP(E28*(E20-E26-1)/365)*NORMDIST((LN(E27*EXP(E28*(E20-E26-1)/365)/E19)+0.5*E32*E32*(E20-E26-1)/365)/E32/SQRT((E20-E26-1)/365),0,1,TRUE)-E19*NORMDIST((LN(E27*EXP(E28*(E20-E26-1)/365)/E19)-0.5*E32*E32*(E20-E26-1)/365)/E32/SQRT((E20-E26-1)/365),0,1,TRUE),IF(E$25="P",-1*E27*EXP(E28*(E20-E26-1)/365)*NORMDIST((-1*LN(E27*EXP(E28*(E20-E26-1)/365)/E19)-0.5*E32*E32*(E20-E26-1)/365)/E32/SQRT((E20-E26-1)/365),0,1,TRUE)+E19*NORMDIST((-1*LN(E27*EXP(E28*(E20-E26-1)/365)/E19)+0.5*E32*E32*(E20-E26-1)/365)/E32/SQRT((E20-E26-1)/365),0,1,TRUE),0))*EXP(-1*E29*(E20-E26-1)/365)-IF(E$25="C",E27*EXP(E28*(E20-E26)/365)*NORMDIST((LN(E27*EXP(E28*(E20-E26)/365)/E19)+0.5*E32*E32*(E20-E26)/365)/E32/SQRT((E20-E26)/365),0,1,TRUE)-E19*NORMDIST((LN(E27*EXP(E28*(E20-E26)/365)/E19)-0.5*E32*E32*(E20-E26)/365)/E32/SQRT((E20-E26)/365),0,1,TRUE),IF(E$25="P",-1*E27*EXP(E28*(E20-E26)/365)*NORMDIST((-1*LN(E27*EXP(E28*(E20-E26)/365)/E19)-0.5*E32*E32*(E20-E26)/365)/E32/SQRT((E20-E26)/365),0,1,TRUE)+E19*NORMDIST((-1*LN(E27*EXP(E28*(E20-E26)/365)/E19)+0.5*E32*E32*(E20-E26)/365)/E32/SQRT((E20-E26)/365),0,1,TRUE),0))*EXP(-1*E29*(E20-E26)/365)</f>
        <v>5.7769020244195417</v>
      </c>
      <c r="F51" s="254">
        <f t="shared" ca="1" si="303"/>
        <v>5.4770102847924136</v>
      </c>
      <c r="G51" s="254">
        <f t="shared" ref="G51:H51" ca="1" si="304">IF(G$25="C",G27*EXP(G28*(G20-G26-1)/365)*NORMDIST((LN(G27*EXP(G28*(G20-G26-1)/365)/G19)+0.5*G32*G32*(G20-G26-1)/365)/G32/SQRT((G20-G26-1)/365),0,1,TRUE)-G19*NORMDIST((LN(G27*EXP(G28*(G20-G26-1)/365)/G19)-0.5*G32*G32*(G20-G26-1)/365)/G32/SQRT((G20-G26-1)/365),0,1,TRUE),IF(G$25="P",-1*G27*EXP(G28*(G20-G26-1)/365)*NORMDIST((-1*LN(G27*EXP(G28*(G20-G26-1)/365)/G19)-0.5*G32*G32*(G20-G26-1)/365)/G32/SQRT((G20-G26-1)/365),0,1,TRUE)+G19*NORMDIST((-1*LN(G27*EXP(G28*(G20-G26-1)/365)/G19)+0.5*G32*G32*(G20-G26-1)/365)/G32/SQRT((G20-G26-1)/365),0,1,TRUE),0))*EXP(-1*G29*(G20-G26-1)/365)-IF(G$25="C",G27*EXP(G28*(G20-G26)/365)*NORMDIST((LN(G27*EXP(G28*(G20-G26)/365)/G19)+0.5*G32*G32*(G20-G26)/365)/G32/SQRT((G20-G26)/365),0,1,TRUE)-G19*NORMDIST((LN(G27*EXP(G28*(G20-G26)/365)/G19)-0.5*G32*G32*(G20-G26)/365)/G32/SQRT((G20-G26)/365),0,1,TRUE),IF(G$25="P",-1*G27*EXP(G28*(G20-G26)/365)*NORMDIST((-1*LN(G27*EXP(G28*(G20-G26)/365)/G19)-0.5*G32*G32*(G20-G26)/365)/G32/SQRT((G20-G26)/365),0,1,TRUE)+G19*NORMDIST((-1*LN(G27*EXP(G28*(G20-G26)/365)/G19)+0.5*G32*G32*(G20-G26)/365)/G32/SQRT((G20-G26)/365),0,1,TRUE),0))*EXP(-1*G29*(G20-G26)/365)</f>
        <v>5.2202562431739352</v>
      </c>
      <c r="H51" s="254">
        <f t="shared" si="304"/>
        <v>0</v>
      </c>
      <c r="I51" s="254">
        <f t="shared" ref="I51" si="305">IF(I$25="C",I27*EXP(I28*(I20-I26-1)/365)*NORMDIST((LN(I27*EXP(I28*(I20-I26-1)/365)/I19)+0.5*I32*I32*(I20-I26-1)/365)/I32/SQRT((I20-I26-1)/365),0,1,TRUE)-I19*NORMDIST((LN(I27*EXP(I28*(I20-I26-1)/365)/I19)-0.5*I32*I32*(I20-I26-1)/365)/I32/SQRT((I20-I26-1)/365),0,1,TRUE),IF(I$25="P",-1*I27*EXP(I28*(I20-I26-1)/365)*NORMDIST((-1*LN(I27*EXP(I28*(I20-I26-1)/365)/I19)-0.5*I32*I32*(I20-I26-1)/365)/I32/SQRT((I20-I26-1)/365),0,1,TRUE)+I19*NORMDIST((-1*LN(I27*EXP(I28*(I20-I26-1)/365)/I19)+0.5*I32*I32*(I20-I26-1)/365)/I32/SQRT((I20-I26-1)/365),0,1,TRUE),0))*EXP(-1*I29*(I20-I26-1)/365)-IF(I$25="C",I27*EXP(I28*(I20-I26)/365)*NORMDIST((LN(I27*EXP(I28*(I20-I26)/365)/I19)+0.5*I32*I32*(I20-I26)/365)/I32/SQRT((I20-I26)/365),0,1,TRUE)-I19*NORMDIST((LN(I27*EXP(I28*(I20-I26)/365)/I19)-0.5*I32*I32*(I20-I26)/365)/I32/SQRT((I20-I26)/365),0,1,TRUE),IF(I$25="P",-1*I27*EXP(I28*(I20-I26)/365)*NORMDIST((-1*LN(I27*EXP(I28*(I20-I26)/365)/I19)-0.5*I32*I32*(I20-I26)/365)/I32/SQRT((I20-I26)/365),0,1,TRUE)+I19*NORMDIST((-1*LN(I27*EXP(I28*(I20-I26)/365)/I19)+0.5*I32*I32*(I20-I26)/365)/I32/SQRT((I20-I26)/365),0,1,TRUE),0))*EXP(-1*I29*(I20-I26)/365)</f>
        <v>0</v>
      </c>
      <c r="J51" s="254">
        <f t="shared" ca="1" si="302"/>
        <v>4.5259760265016666</v>
      </c>
      <c r="K51" s="254">
        <f t="shared" ca="1" si="302"/>
        <v>4.3038091196776804</v>
      </c>
      <c r="L51" s="254">
        <f t="shared" ca="1" si="302"/>
        <v>4.0839583255256002</v>
      </c>
      <c r="M51" s="254">
        <f t="shared" ref="M51:N51" ca="1" si="306">IF(M$25="C",M27*EXP(M28*(M20-M26-1)/365)*NORMDIST((LN(M27*EXP(M28*(M20-M26-1)/365)/M19)+0.5*M32*M32*(M20-M26-1)/365)/M32/SQRT((M20-M26-1)/365),0,1,TRUE)-M19*NORMDIST((LN(M27*EXP(M28*(M20-M26-1)/365)/M19)-0.5*M32*M32*(M20-M26-1)/365)/M32/SQRT((M20-M26-1)/365),0,1,TRUE),IF(M$25="P",-1*M27*EXP(M28*(M20-M26-1)/365)*NORMDIST((-1*LN(M27*EXP(M28*(M20-M26-1)/365)/M19)-0.5*M32*M32*(M20-M26-1)/365)/M32/SQRT((M20-M26-1)/365),0,1,TRUE)+M19*NORMDIST((-1*LN(M27*EXP(M28*(M20-M26-1)/365)/M19)+0.5*M32*M32*(M20-M26-1)/365)/M32/SQRT((M20-M26-1)/365),0,1,TRUE),0))*EXP(-1*M29*(M20-M26-1)/365)-IF(M$25="C",M27*EXP(M28*(M20-M26)/365)*NORMDIST((LN(M27*EXP(M28*(M20-M26)/365)/M19)+0.5*M32*M32*(M20-M26)/365)/M32/SQRT((M20-M26)/365),0,1,TRUE)-M19*NORMDIST((LN(M27*EXP(M28*(M20-M26)/365)/M19)-0.5*M32*M32*(M20-M26)/365)/M32/SQRT((M20-M26)/365),0,1,TRUE),IF(M$25="P",-1*M27*EXP(M28*(M20-M26)/365)*NORMDIST((-1*LN(M27*EXP(M28*(M20-M26)/365)/M19)-0.5*M32*M32*(M20-M26)/365)/M32/SQRT((M20-M26)/365),0,1,TRUE)+M19*NORMDIST((-1*LN(M27*EXP(M28*(M20-M26)/365)/M19)+0.5*M32*M32*(M20-M26)/365)/M32/SQRT((M20-M26)/365),0,1,TRUE),0))*EXP(-1*M29*(M20-M26)/365)</f>
        <v>3.8678547156232526</v>
      </c>
      <c r="N51" s="254">
        <f t="shared" ca="1" si="306"/>
        <v>3.6836534752292209</v>
      </c>
      <c r="O51" s="254">
        <f t="shared" ref="O51:P51" ca="1" si="307">IF(O$25="C",O27*EXP(O28*(O20-O26-1)/365)*NORMDIST((LN(O27*EXP(O28*(O20-O26-1)/365)/O19)+0.5*O32*O32*(O20-O26-1)/365)/O32/SQRT((O20-O26-1)/365),0,1,TRUE)-O19*NORMDIST((LN(O27*EXP(O28*(O20-O26-1)/365)/O19)-0.5*O32*O32*(O20-O26-1)/365)/O32/SQRT((O20-O26-1)/365),0,1,TRUE),IF(O$25="P",-1*O27*EXP(O28*(O20-O26-1)/365)*NORMDIST((-1*LN(O27*EXP(O28*(O20-O26-1)/365)/O19)-0.5*O32*O32*(O20-O26-1)/365)/O32/SQRT((O20-O26-1)/365),0,1,TRUE)+O19*NORMDIST((-1*LN(O27*EXP(O28*(O20-O26-1)/365)/O19)+0.5*O32*O32*(O20-O26-1)/365)/O32/SQRT((O20-O26-1)/365),0,1,TRUE),0))*EXP(-1*O29*(O20-O26-1)/365)-IF(O$25="C",O27*EXP(O28*(O20-O26)/365)*NORMDIST((LN(O27*EXP(O28*(O20-O26)/365)/O19)+0.5*O32*O32*(O20-O26)/365)/O32/SQRT((O20-O26)/365),0,1,TRUE)-O19*NORMDIST((LN(O27*EXP(O28*(O20-O26)/365)/O19)-0.5*O32*O32*(O20-O26)/365)/O32/SQRT((O20-O26)/365),0,1,TRUE),IF(O$25="P",-1*O27*EXP(O28*(O20-O26)/365)*NORMDIST((-1*LN(O27*EXP(O28*(O20-O26)/365)/O19)-0.5*O32*O32*(O20-O26)/365)/O32/SQRT((O20-O26)/365),0,1,TRUE)+O19*NORMDIST((-1*LN(O27*EXP(O28*(O20-O26)/365)/O19)+0.5*O32*O32*(O20-O26)/365)/O32/SQRT((O20-O26)/365),0,1,TRUE),0))*EXP(-1*O29*(O20-O26)/365)</f>
        <v>3.5258639891417261</v>
      </c>
      <c r="P51" s="254">
        <f t="shared" si="307"/>
        <v>0</v>
      </c>
      <c r="Q51" s="254">
        <f t="shared" ref="Q51" si="308">IF(Q$25="C",Q27*EXP(Q28*(Q20-Q26-1)/365)*NORMDIST((LN(Q27*EXP(Q28*(Q20-Q26-1)/365)/Q19)+0.5*Q32*Q32*(Q20-Q26-1)/365)/Q32/SQRT((Q20-Q26-1)/365),0,1,TRUE)-Q19*NORMDIST((LN(Q27*EXP(Q28*(Q20-Q26-1)/365)/Q19)-0.5*Q32*Q32*(Q20-Q26-1)/365)/Q32/SQRT((Q20-Q26-1)/365),0,1,TRUE),IF(Q$25="P",-1*Q27*EXP(Q28*(Q20-Q26-1)/365)*NORMDIST((-1*LN(Q27*EXP(Q28*(Q20-Q26-1)/365)/Q19)-0.5*Q32*Q32*(Q20-Q26-1)/365)/Q32/SQRT((Q20-Q26-1)/365),0,1,TRUE)+Q19*NORMDIST((-1*LN(Q27*EXP(Q28*(Q20-Q26-1)/365)/Q19)+0.5*Q32*Q32*(Q20-Q26-1)/365)/Q32/SQRT((Q20-Q26-1)/365),0,1,TRUE),0))*EXP(-1*Q29*(Q20-Q26-1)/365)-IF(Q$25="C",Q27*EXP(Q28*(Q20-Q26)/365)*NORMDIST((LN(Q27*EXP(Q28*(Q20-Q26)/365)/Q19)+0.5*Q32*Q32*(Q20-Q26)/365)/Q32/SQRT((Q20-Q26)/365),0,1,TRUE)-Q19*NORMDIST((LN(Q27*EXP(Q28*(Q20-Q26)/365)/Q19)-0.5*Q32*Q32*(Q20-Q26)/365)/Q32/SQRT((Q20-Q26)/365),0,1,TRUE),IF(Q$25="P",-1*Q27*EXP(Q28*(Q20-Q26)/365)*NORMDIST((-1*LN(Q27*EXP(Q28*(Q20-Q26)/365)/Q19)-0.5*Q32*Q32*(Q20-Q26)/365)/Q32/SQRT((Q20-Q26)/365),0,1,TRUE)+Q19*NORMDIST((-1*LN(Q27*EXP(Q28*(Q20-Q26)/365)/Q19)+0.5*Q32*Q32*(Q20-Q26)/365)/Q32/SQRT((Q20-Q26)/365),0,1,TRUE),0))*EXP(-1*Q29*(Q20-Q26)/365)</f>
        <v>0</v>
      </c>
      <c r="R51" s="254">
        <f t="shared" ca="1" si="302"/>
        <v>4.098478915189844</v>
      </c>
      <c r="S51" s="254">
        <f t="shared" ca="1" si="302"/>
        <v>3.9042813624837436</v>
      </c>
      <c r="T51" s="254">
        <f t="shared" ca="1" si="302"/>
        <v>3.7118729307039757</v>
      </c>
      <c r="U51" s="254">
        <f t="shared" ref="U51:V51" ca="1" si="309">IF(U$25="C",U27*EXP(U28*(U20-U26-1)/365)*NORMDIST((LN(U27*EXP(U28*(U20-U26-1)/365)/U19)+0.5*U32*U32*(U20-U26-1)/365)/U32/SQRT((U20-U26-1)/365),0,1,TRUE)-U19*NORMDIST((LN(U27*EXP(U28*(U20-U26-1)/365)/U19)-0.5*U32*U32*(U20-U26-1)/365)/U32/SQRT((U20-U26-1)/365),0,1,TRUE),IF(U$25="P",-1*U27*EXP(U28*(U20-U26-1)/365)*NORMDIST((-1*LN(U27*EXP(U28*(U20-U26-1)/365)/U19)-0.5*U32*U32*(U20-U26-1)/365)/U32/SQRT((U20-U26-1)/365),0,1,TRUE)+U19*NORMDIST((-1*LN(U27*EXP(U28*(U20-U26-1)/365)/U19)+0.5*U32*U32*(U20-U26-1)/365)/U32/SQRT((U20-U26-1)/365),0,1,TRUE),0))*EXP(-1*U29*(U20-U26-1)/365)-IF(U$25="C",U27*EXP(U28*(U20-U26)/365)*NORMDIST((LN(U27*EXP(U28*(U20-U26)/365)/U19)+0.5*U32*U32*(U20-U26)/365)/U32/SQRT((U20-U26)/365),0,1,TRUE)-U19*NORMDIST((LN(U27*EXP(U28*(U20-U26)/365)/U19)-0.5*U32*U32*(U20-U26)/365)/U32/SQRT((U20-U26)/365),0,1,TRUE),IF(U$25="P",-1*U27*EXP(U28*(U20-U26)/365)*NORMDIST((-1*LN(U27*EXP(U28*(U20-U26)/365)/U19)-0.5*U32*U32*(U20-U26)/365)/U32/SQRT((U20-U26)/365),0,1,TRUE)+U19*NORMDIST((-1*LN(U27*EXP(U28*(U20-U26)/365)/U19)+0.5*U32*U32*(U20-U26)/365)/U32/SQRT((U20-U26)/365),0,1,TRUE),0))*EXP(-1*U29*(U20-U26)/365)</f>
        <v>3.5224337297750026</v>
      </c>
      <c r="V51" s="254">
        <f t="shared" ca="1" si="309"/>
        <v>3.3606587033518736</v>
      </c>
      <c r="W51" s="254">
        <f t="shared" ref="W51:X51" ca="1" si="310">IF(W$25="C",W27*EXP(W28*(W20-W26-1)/365)*NORMDIST((LN(W27*EXP(W28*(W20-W26-1)/365)/W19)+0.5*W32*W32*(W20-W26-1)/365)/W32/SQRT((W20-W26-1)/365),0,1,TRUE)-W19*NORMDIST((LN(W27*EXP(W28*(W20-W26-1)/365)/W19)-0.5*W32*W32*(W20-W26-1)/365)/W32/SQRT((W20-W26-1)/365),0,1,TRUE),IF(W$25="P",-1*W27*EXP(W28*(W20-W26-1)/365)*NORMDIST((-1*LN(W27*EXP(W28*(W20-W26-1)/365)/W19)-0.5*W32*W32*(W20-W26-1)/365)/W32/SQRT((W20-W26-1)/365),0,1,TRUE)+W19*NORMDIST((-1*LN(W27*EXP(W28*(W20-W26-1)/365)/W19)+0.5*W32*W32*(W20-W26-1)/365)/W32/SQRT((W20-W26-1)/365),0,1,TRUE),0))*EXP(-1*W29*(W20-W26-1)/365)-IF(W$25="C",W27*EXP(W28*(W20-W26)/365)*NORMDIST((LN(W27*EXP(W28*(W20-W26)/365)/W19)+0.5*W32*W32*(W20-W26)/365)/W32/SQRT((W20-W26)/365),0,1,TRUE)-W19*NORMDIST((LN(W27*EXP(W28*(W20-W26)/365)/W19)-0.5*W32*W32*(W20-W26)/365)/W32/SQRT((W20-W26)/365),0,1,TRUE),IF(W$25="P",-1*W27*EXP(W28*(W20-W26)/365)*NORMDIST((-1*LN(W27*EXP(W28*(W20-W26)/365)/W19)-0.5*W32*W32*(W20-W26)/365)/W32/SQRT((W20-W26)/365),0,1,TRUE)+W19*NORMDIST((-1*LN(W27*EXP(W28*(W20-W26)/365)/W19)+0.5*W32*W32*(W20-W26)/365)/W32/SQRT((W20-W26)/365),0,1,TRUE),0))*EXP(-1*W29*(W20-W26)/365)</f>
        <v>3.2218212645620952</v>
      </c>
      <c r="X51" s="254">
        <f t="shared" si="310"/>
        <v>0</v>
      </c>
      <c r="Y51" s="254">
        <f t="shared" ref="Y51" si="311">IF(Y$25="C",Y27*EXP(Y28*(Y20-Y26-1)/365)*NORMDIST((LN(Y27*EXP(Y28*(Y20-Y26-1)/365)/Y19)+0.5*Y32*Y32*(Y20-Y26-1)/365)/Y32/SQRT((Y20-Y26-1)/365),0,1,TRUE)-Y19*NORMDIST((LN(Y27*EXP(Y28*(Y20-Y26-1)/365)/Y19)-0.5*Y32*Y32*(Y20-Y26-1)/365)/Y32/SQRT((Y20-Y26-1)/365),0,1,TRUE),IF(Y$25="P",-1*Y27*EXP(Y28*(Y20-Y26-1)/365)*NORMDIST((-1*LN(Y27*EXP(Y28*(Y20-Y26-1)/365)/Y19)-0.5*Y32*Y32*(Y20-Y26-1)/365)/Y32/SQRT((Y20-Y26-1)/365),0,1,TRUE)+Y19*NORMDIST((-1*LN(Y27*EXP(Y28*(Y20-Y26-1)/365)/Y19)+0.5*Y32*Y32*(Y20-Y26-1)/365)/Y32/SQRT((Y20-Y26-1)/365),0,1,TRUE),0))*EXP(-1*Y29*(Y20-Y26-1)/365)-IF(Y$25="C",Y27*EXP(Y28*(Y20-Y26)/365)*NORMDIST((LN(Y27*EXP(Y28*(Y20-Y26)/365)/Y19)+0.5*Y32*Y32*(Y20-Y26)/365)/Y32/SQRT((Y20-Y26)/365),0,1,TRUE)-Y19*NORMDIST((LN(Y27*EXP(Y28*(Y20-Y26)/365)/Y19)-0.5*Y32*Y32*(Y20-Y26)/365)/Y32/SQRT((Y20-Y26)/365),0,1,TRUE),IF(Y$25="P",-1*Y27*EXP(Y28*(Y20-Y26)/365)*NORMDIST((-1*LN(Y27*EXP(Y28*(Y20-Y26)/365)/Y19)-0.5*Y32*Y32*(Y20-Y26)/365)/Y32/SQRT((Y20-Y26)/365),0,1,TRUE)+Y19*NORMDIST((-1*LN(Y27*EXP(Y28*(Y20-Y26)/365)/Y19)+0.5*Y32*Y32*(Y20-Y26)/365)/Y32/SQRT((Y20-Y26)/365),0,1,TRUE),0))*EXP(-1*Y29*(Y20-Y26)/365)</f>
        <v>0</v>
      </c>
      <c r="Z51" s="254">
        <f t="shared" ca="1" si="302"/>
        <v>-0.4546724017818633</v>
      </c>
      <c r="AA51" s="254">
        <f t="shared" ca="1" si="302"/>
        <v>-0.37304863142435352</v>
      </c>
      <c r="AB51" s="254">
        <f t="shared" ca="1" si="302"/>
        <v>-0.29480795481322275</v>
      </c>
      <c r="AC51" s="254">
        <f t="shared" ref="AC51:AD51" ca="1" si="312">IF(AC$25="C",AC27*EXP(AC28*(AC20-AC26-1)/365)*NORMDIST((LN(AC27*EXP(AC28*(AC20-AC26-1)/365)/AC19)+0.5*AC32*AC32*(AC20-AC26-1)/365)/AC32/SQRT((AC20-AC26-1)/365),0,1,TRUE)-AC19*NORMDIST((LN(AC27*EXP(AC28*(AC20-AC26-1)/365)/AC19)-0.5*AC32*AC32*(AC20-AC26-1)/365)/AC32/SQRT((AC20-AC26-1)/365),0,1,TRUE),IF(AC$25="P",-1*AC27*EXP(AC28*(AC20-AC26-1)/365)*NORMDIST((-1*LN(AC27*EXP(AC28*(AC20-AC26-1)/365)/AC19)-0.5*AC32*AC32*(AC20-AC26-1)/365)/AC32/SQRT((AC20-AC26-1)/365),0,1,TRUE)+AC19*NORMDIST((-1*LN(AC27*EXP(AC28*(AC20-AC26-1)/365)/AC19)+0.5*AC32*AC32*(AC20-AC26-1)/365)/AC32/SQRT((AC20-AC26-1)/365),0,1,TRUE),0))*EXP(-1*AC29*(AC20-AC26-1)/365)-IF(AC$25="C",AC27*EXP(AC28*(AC20-AC26)/365)*NORMDIST((LN(AC27*EXP(AC28*(AC20-AC26)/365)/AC19)+0.5*AC32*AC32*(AC20-AC26)/365)/AC32/SQRT((AC20-AC26)/365),0,1,TRUE)-AC19*NORMDIST((LN(AC27*EXP(AC28*(AC20-AC26)/365)/AC19)-0.5*AC32*AC32*(AC20-AC26)/365)/AC32/SQRT((AC20-AC26)/365),0,1,TRUE),IF(AC$25="P",-1*AC27*EXP(AC28*(AC20-AC26)/365)*NORMDIST((-1*LN(AC27*EXP(AC28*(AC20-AC26)/365)/AC19)-0.5*AC32*AC32*(AC20-AC26)/365)/AC32/SQRT((AC20-AC26)/365),0,1,TRUE)+AC19*NORMDIST((-1*LN(AC27*EXP(AC28*(AC20-AC26)/365)/AC19)+0.5*AC32*AC32*(AC20-AC26)/365)/AC32/SQRT((AC20-AC26)/365),0,1,TRUE),0))*EXP(-1*AC29*(AC20-AC26)/365)</f>
        <v>-0.2207477349011242</v>
      </c>
      <c r="AD51" s="254">
        <f t="shared" ca="1" si="312"/>
        <v>-0.16014834812176559</v>
      </c>
      <c r="AE51" s="254">
        <f t="shared" ref="AE51:AF51" ca="1" si="313">IF(AE$25="C",AE27*EXP(AE28*(AE20-AE26-1)/365)*NORMDIST((LN(AE27*EXP(AE28*(AE20-AE26-1)/365)/AE19)+0.5*AE32*AE32*(AE20-AE26-1)/365)/AE32/SQRT((AE20-AE26-1)/365),0,1,TRUE)-AE19*NORMDIST((LN(AE27*EXP(AE28*(AE20-AE26-1)/365)/AE19)-0.5*AE32*AE32*(AE20-AE26-1)/365)/AE32/SQRT((AE20-AE26-1)/365),0,1,TRUE),IF(AE$25="P",-1*AE27*EXP(AE28*(AE20-AE26-1)/365)*NORMDIST((-1*LN(AE27*EXP(AE28*(AE20-AE26-1)/365)/AE19)-0.5*AE32*AE32*(AE20-AE26-1)/365)/AE32/SQRT((AE20-AE26-1)/365),0,1,TRUE)+AE19*NORMDIST((-1*LN(AE27*EXP(AE28*(AE20-AE26-1)/365)/AE19)+0.5*AE32*AE32*(AE20-AE26-1)/365)/AE32/SQRT((AE20-AE26-1)/365),0,1,TRUE),0))*EXP(-1*AE29*(AE20-AE26-1)/365)-IF(AE$25="C",AE27*EXP(AE28*(AE20-AE26)/365)*NORMDIST((LN(AE27*EXP(AE28*(AE20-AE26)/365)/AE19)+0.5*AE32*AE32*(AE20-AE26)/365)/AE32/SQRT((AE20-AE26)/365),0,1,TRUE)-AE19*NORMDIST((LN(AE27*EXP(AE28*(AE20-AE26)/365)/AE19)-0.5*AE32*AE32*(AE20-AE26)/365)/AE32/SQRT((AE20-AE26)/365),0,1,TRUE),IF(AE$25="P",-1*AE27*EXP(AE28*(AE20-AE26)/365)*NORMDIST((-1*LN(AE27*EXP(AE28*(AE20-AE26)/365)/AE19)-0.5*AE32*AE32*(AE20-AE26)/365)/AE32/SQRT((AE20-AE26)/365),0,1,TRUE)+AE19*NORMDIST((-1*LN(AE27*EXP(AE28*(AE20-AE26)/365)/AE19)+0.5*AE32*AE32*(AE20-AE26)/365)/AE32/SQRT((AE20-AE26)/365),0,1,TRUE),0))*EXP(-1*AE29*(AE20-AE26)/365)</f>
        <v>-0.11028985614257181</v>
      </c>
      <c r="AF51" s="254">
        <f t="shared" si="313"/>
        <v>0</v>
      </c>
      <c r="AG51" s="254">
        <f t="shared" ref="AG51" si="314">IF(AG$25="C",AG27*EXP(AG28*(AG20-AG26-1)/365)*NORMDIST((LN(AG27*EXP(AG28*(AG20-AG26-1)/365)/AG19)+0.5*AG32*AG32*(AG20-AG26-1)/365)/AG32/SQRT((AG20-AG26-1)/365),0,1,TRUE)-AG19*NORMDIST((LN(AG27*EXP(AG28*(AG20-AG26-1)/365)/AG19)-0.5*AG32*AG32*(AG20-AG26-1)/365)/AG32/SQRT((AG20-AG26-1)/365),0,1,TRUE),IF(AG$25="P",-1*AG27*EXP(AG28*(AG20-AG26-1)/365)*NORMDIST((-1*LN(AG27*EXP(AG28*(AG20-AG26-1)/365)/AG19)-0.5*AG32*AG32*(AG20-AG26-1)/365)/AG32/SQRT((AG20-AG26-1)/365),0,1,TRUE)+AG19*NORMDIST((-1*LN(AG27*EXP(AG28*(AG20-AG26-1)/365)/AG19)+0.5*AG32*AG32*(AG20-AG26-1)/365)/AG32/SQRT((AG20-AG26-1)/365),0,1,TRUE),0))*EXP(-1*AG29*(AG20-AG26-1)/365)-IF(AG$25="C",AG27*EXP(AG28*(AG20-AG26)/365)*NORMDIST((LN(AG27*EXP(AG28*(AG20-AG26)/365)/AG19)+0.5*AG32*AG32*(AG20-AG26)/365)/AG32/SQRT((AG20-AG26)/365),0,1,TRUE)-AG19*NORMDIST((LN(AG27*EXP(AG28*(AG20-AG26)/365)/AG19)-0.5*AG32*AG32*(AG20-AG26)/365)/AG32/SQRT((AG20-AG26)/365),0,1,TRUE),IF(AG$25="P",-1*AG27*EXP(AG28*(AG20-AG26)/365)*NORMDIST((-1*LN(AG27*EXP(AG28*(AG20-AG26)/365)/AG19)-0.5*AG32*AG32*(AG20-AG26)/365)/AG32/SQRT((AG20-AG26)/365),0,1,TRUE)+AG19*NORMDIST((-1*LN(AG27*EXP(AG28*(AG20-AG26)/365)/AG19)+0.5*AG32*AG32*(AG20-AG26)/365)/AG32/SQRT((AG20-AG26)/365),0,1,TRUE),0))*EXP(-1*AG29*(AG20-AG26)/365)</f>
        <v>0</v>
      </c>
      <c r="AH51" s="254">
        <f t="shared" ca="1" si="302"/>
        <v>-0.48361917985494074</v>
      </c>
      <c r="AI51" s="254">
        <f t="shared" ca="1" si="302"/>
        <v>-0.40248963291696782</v>
      </c>
      <c r="AJ51" s="254">
        <f t="shared" ca="1" si="302"/>
        <v>-0.32447623321968422</v>
      </c>
      <c r="AK51" s="254">
        <f t="shared" ref="AK51:AL51" ca="1" si="315">IF(AK$25="C",AK27*EXP(AK28*(AK20-AK26-1)/365)*NORMDIST((LN(AK27*EXP(AK28*(AK20-AK26-1)/365)/AK19)+0.5*AK32*AK32*(AK20-AK26-1)/365)/AK32/SQRT((AK20-AK26-1)/365),0,1,TRUE)-AK19*NORMDIST((LN(AK27*EXP(AK28*(AK20-AK26-1)/365)/AK19)-0.5*AK32*AK32*(AK20-AK26-1)/365)/AK32/SQRT((AK20-AK26-1)/365),0,1,TRUE),IF(AK$25="P",-1*AK27*EXP(AK28*(AK20-AK26-1)/365)*NORMDIST((-1*LN(AK27*EXP(AK28*(AK20-AK26-1)/365)/AK19)-0.5*AK32*AK32*(AK20-AK26-1)/365)/AK32/SQRT((AK20-AK26-1)/365),0,1,TRUE)+AK19*NORMDIST((-1*LN(AK27*EXP(AK28*(AK20-AK26-1)/365)/AK19)+0.5*AK32*AK32*(AK20-AK26-1)/365)/AK32/SQRT((AK20-AK26-1)/365),0,1,TRUE),0))*EXP(-1*AK29*(AK20-AK26-1)/365)-IF(AK$25="C",AK27*EXP(AK28*(AK20-AK26)/365)*NORMDIST((LN(AK27*EXP(AK28*(AK20-AK26)/365)/AK19)+0.5*AK32*AK32*(AK20-AK26)/365)/AK32/SQRT((AK20-AK26)/365),0,1,TRUE)-AK19*NORMDIST((LN(AK27*EXP(AK28*(AK20-AK26)/365)/AK19)-0.5*AK32*AK32*(AK20-AK26)/365)/AK32/SQRT((AK20-AK26)/365),0,1,TRUE),IF(AK$25="P",-1*AK27*EXP(AK28*(AK20-AK26)/365)*NORMDIST((-1*LN(AK27*EXP(AK28*(AK20-AK26)/365)/AK19)-0.5*AK32*AK32*(AK20-AK26)/365)/AK32/SQRT((AK20-AK26)/365),0,1,TRUE)+AK19*NORMDIST((-1*LN(AK27*EXP(AK28*(AK20-AK26)/365)/AK19)+0.5*AK32*AK32*(AK20-AK26)/365)/AK32/SQRT((AK20-AK26)/365),0,1,TRUE),0))*EXP(-1*AK29*(AK20-AK26)/365)</f>
        <v>-0.25039085461867217</v>
      </c>
      <c r="AL51" s="254">
        <f t="shared" ca="1" si="315"/>
        <v>-0.18958014206373264</v>
      </c>
      <c r="AM51" s="254">
        <f t="shared" ref="AM51:AN51" ca="1" si="316">IF(AM$25="C",AM27*EXP(AM28*(AM20-AM26-1)/365)*NORMDIST((LN(AM27*EXP(AM28*(AM20-AM26-1)/365)/AM19)+0.5*AM32*AM32*(AM20-AM26-1)/365)/AM32/SQRT((AM20-AM26-1)/365),0,1,TRUE)-AM19*NORMDIST((LN(AM27*EXP(AM28*(AM20-AM26-1)/365)/AM19)-0.5*AM32*AM32*(AM20-AM26-1)/365)/AM32/SQRT((AM20-AM26-1)/365),0,1,TRUE),IF(AM$25="P",-1*AM27*EXP(AM28*(AM20-AM26-1)/365)*NORMDIST((-1*LN(AM27*EXP(AM28*(AM20-AM26-1)/365)/AM19)-0.5*AM32*AM32*(AM20-AM26-1)/365)/AM32/SQRT((AM20-AM26-1)/365),0,1,TRUE)+AM19*NORMDIST((-1*LN(AM27*EXP(AM28*(AM20-AM26-1)/365)/AM19)+0.5*AM32*AM32*(AM20-AM26-1)/365)/AM32/SQRT((AM20-AM26-1)/365),0,1,TRUE),0))*EXP(-1*AM29*(AM20-AM26-1)/365)-IF(AM$25="C",AM27*EXP(AM28*(AM20-AM26)/365)*NORMDIST((LN(AM27*EXP(AM28*(AM20-AM26)/365)/AM19)+0.5*AM32*AM32*(AM20-AM26)/365)/AM32/SQRT((AM20-AM26)/365),0,1,TRUE)-AM19*NORMDIST((LN(AM27*EXP(AM28*(AM20-AM26)/365)/AM19)-0.5*AM32*AM32*(AM20-AM26)/365)/AM32/SQRT((AM20-AM26)/365),0,1,TRUE),IF(AM$25="P",-1*AM27*EXP(AM28*(AM20-AM26)/365)*NORMDIST((-1*LN(AM27*EXP(AM28*(AM20-AM26)/365)/AM19)-0.5*AM32*AM32*(AM20-AM26)/365)/AM32/SQRT((AM20-AM26)/365),0,1,TRUE)+AM19*NORMDIST((-1*LN(AM27*EXP(AM28*(AM20-AM26)/365)/AM19)+0.5*AM32*AM32*(AM20-AM26)/365)/AM32/SQRT((AM20-AM26)/365),0,1,TRUE),0))*EXP(-1*AM29*(AM20-AM26)/365)</f>
        <v>-0.13940522865868843</v>
      </c>
      <c r="AN51" s="254">
        <f t="shared" si="316"/>
        <v>0</v>
      </c>
      <c r="AO51" s="254">
        <f t="shared" ref="AO51" si="317">IF(AO$25="C",AO27*EXP(AO28*(AO20-AO26-1)/365)*NORMDIST((LN(AO27*EXP(AO28*(AO20-AO26-1)/365)/AO19)+0.5*AO32*AO32*(AO20-AO26-1)/365)/AO32/SQRT((AO20-AO26-1)/365),0,1,TRUE)-AO19*NORMDIST((LN(AO27*EXP(AO28*(AO20-AO26-1)/365)/AO19)-0.5*AO32*AO32*(AO20-AO26-1)/365)/AO32/SQRT((AO20-AO26-1)/365),0,1,TRUE),IF(AO$25="P",-1*AO27*EXP(AO28*(AO20-AO26-1)/365)*NORMDIST((-1*LN(AO27*EXP(AO28*(AO20-AO26-1)/365)/AO19)-0.5*AO32*AO32*(AO20-AO26-1)/365)/AO32/SQRT((AO20-AO26-1)/365),0,1,TRUE)+AO19*NORMDIST((-1*LN(AO27*EXP(AO28*(AO20-AO26-1)/365)/AO19)+0.5*AO32*AO32*(AO20-AO26-1)/365)/AO32/SQRT((AO20-AO26-1)/365),0,1,TRUE),0))*EXP(-1*AO29*(AO20-AO26-1)/365)-IF(AO$25="C",AO27*EXP(AO28*(AO20-AO26)/365)*NORMDIST((LN(AO27*EXP(AO28*(AO20-AO26)/365)/AO19)+0.5*AO32*AO32*(AO20-AO26)/365)/AO32/SQRT((AO20-AO26)/365),0,1,TRUE)-AO19*NORMDIST((LN(AO27*EXP(AO28*(AO20-AO26)/365)/AO19)-0.5*AO32*AO32*(AO20-AO26)/365)/AO32/SQRT((AO20-AO26)/365),0,1,TRUE),IF(AO$25="P",-1*AO27*EXP(AO28*(AO20-AO26)/365)*NORMDIST((-1*LN(AO27*EXP(AO28*(AO20-AO26)/365)/AO19)-0.5*AO32*AO32*(AO20-AO26)/365)/AO32/SQRT((AO20-AO26)/365),0,1,TRUE)+AO19*NORMDIST((-1*LN(AO27*EXP(AO28*(AO20-AO26)/365)/AO19)+0.5*AO32*AO32*(AO20-AO26)/365)/AO32/SQRT((AO20-AO26)/365),0,1,TRUE),0))*EXP(-1*AO29*(AO20-AO26)/365)</f>
        <v>0</v>
      </c>
      <c r="AP51" s="254">
        <f t="shared" ref="AP51:AU51" ca="1" si="318">IF(AP$25="C",AP27*EXP(AP28*(AP20-AP26-1)/365)*NORMDIST((LN(AP27*EXP(AP28*(AP20-AP26-1)/365)/AP19)+0.5*AP32*AP32*(AP20-AP26-1)/365)/AP32/SQRT((AP20-AP26-1)/365),0,1,TRUE)-AP19*NORMDIST((LN(AP27*EXP(AP28*(AP20-AP26-1)/365)/AP19)-0.5*AP32*AP32*(AP20-AP26-1)/365)/AP32/SQRT((AP20-AP26-1)/365),0,1,TRUE),IF(AP$25="P",-1*AP27*EXP(AP28*(AP20-AP26-1)/365)*NORMDIST((-1*LN(AP27*EXP(AP28*(AP20-AP26-1)/365)/AP19)-0.5*AP32*AP32*(AP20-AP26-1)/365)/AP32/SQRT((AP20-AP26-1)/365),0,1,TRUE)+AP19*NORMDIST((-1*LN(AP27*EXP(AP28*(AP20-AP26-1)/365)/AP19)+0.5*AP32*AP32*(AP20-AP26-1)/365)/AP32/SQRT((AP20-AP26-1)/365),0,1,TRUE),0))*EXP(-1*AP29*(AP20-AP26-1)/365)-IF(AP$25="C",AP27*EXP(AP28*(AP20-AP26)/365)*NORMDIST((LN(AP27*EXP(AP28*(AP20-AP26)/365)/AP19)+0.5*AP32*AP32*(AP20-AP26)/365)/AP32/SQRT((AP20-AP26)/365),0,1,TRUE)-AP19*NORMDIST((LN(AP27*EXP(AP28*(AP20-AP26)/365)/AP19)-0.5*AP32*AP32*(AP20-AP26)/365)/AP32/SQRT((AP20-AP26)/365),0,1,TRUE),IF(AP$25="P",-1*AP27*EXP(AP28*(AP20-AP26)/365)*NORMDIST((-1*LN(AP27*EXP(AP28*(AP20-AP26)/365)/AP19)-0.5*AP32*AP32*(AP20-AP26)/365)/AP32/SQRT((AP20-AP26)/365),0,1,TRUE)+AP19*NORMDIST((-1*LN(AP27*EXP(AP28*(AP20-AP26)/365)/AP19)+0.5*AP32*AP32*(AP20-AP26)/365)/AP32/SQRT((AP20-AP26)/365),0,1,TRUE),0))*EXP(-1*AP29*(AP20-AP26)/365)</f>
        <v>-0.65413260503760284</v>
      </c>
      <c r="AQ51" s="254">
        <f t="shared" ca="1" si="318"/>
        <v>-0.59625140152479617</v>
      </c>
      <c r="AR51" s="254">
        <f t="shared" ca="1" si="318"/>
        <v>-0.53760665627373783</v>
      </c>
      <c r="AS51" s="254">
        <f t="shared" ca="1" si="318"/>
        <v>-0.47900985940009377</v>
      </c>
      <c r="AT51" s="254">
        <f t="shared" ca="1" si="318"/>
        <v>-0.42862014165916662</v>
      </c>
      <c r="AU51" s="254">
        <f t="shared" ca="1" si="318"/>
        <v>-0.38534441166507349</v>
      </c>
      <c r="AV51" s="254">
        <f t="shared" ref="AV51:AW51" si="319">IF(AV$25="C",AV27*EXP(AV28*(AV20-AV26-1)/365)*NORMDIST((LN(AV27*EXP(AV28*(AV20-AV26-1)/365)/AV19)+0.5*AV32*AV32*(AV20-AV26-1)/365)/AV32/SQRT((AV20-AV26-1)/365),0,1,TRUE)-AV19*NORMDIST((LN(AV27*EXP(AV28*(AV20-AV26-1)/365)/AV19)-0.5*AV32*AV32*(AV20-AV26-1)/365)/AV32/SQRT((AV20-AV26-1)/365),0,1,TRUE),IF(AV$25="P",-1*AV27*EXP(AV28*(AV20-AV26-1)/365)*NORMDIST((-1*LN(AV27*EXP(AV28*(AV20-AV26-1)/365)/AV19)-0.5*AV32*AV32*(AV20-AV26-1)/365)/AV32/SQRT((AV20-AV26-1)/365),0,1,TRUE)+AV19*NORMDIST((-1*LN(AV27*EXP(AV28*(AV20-AV26-1)/365)/AV19)+0.5*AV32*AV32*(AV20-AV26-1)/365)/AV32/SQRT((AV20-AV26-1)/365),0,1,TRUE),0))*EXP(-1*AV29*(AV20-AV26-1)/365)-IF(AV$25="C",AV27*EXP(AV28*(AV20-AV26)/365)*NORMDIST((LN(AV27*EXP(AV28*(AV20-AV26)/365)/AV19)+0.5*AV32*AV32*(AV20-AV26)/365)/AV32/SQRT((AV20-AV26)/365),0,1,TRUE)-AV19*NORMDIST((LN(AV27*EXP(AV28*(AV20-AV26)/365)/AV19)-0.5*AV32*AV32*(AV20-AV26)/365)/AV32/SQRT((AV20-AV26)/365),0,1,TRUE),IF(AV$25="P",-1*AV27*EXP(AV28*(AV20-AV26)/365)*NORMDIST((-1*LN(AV27*EXP(AV28*(AV20-AV26)/365)/AV19)-0.5*AV32*AV32*(AV20-AV26)/365)/AV32/SQRT((AV20-AV26)/365),0,1,TRUE)+AV19*NORMDIST((-1*LN(AV27*EXP(AV28*(AV20-AV26)/365)/AV19)+0.5*AV32*AV32*(AV20-AV26)/365)/AV32/SQRT((AV20-AV26)/365),0,1,TRUE),0))*EXP(-1*AV29*(AV20-AV26)/365)</f>
        <v>0</v>
      </c>
      <c r="AW51" s="254">
        <f t="shared" si="319"/>
        <v>0</v>
      </c>
      <c r="AX51" s="254">
        <f t="shared" ref="AX51:CI51" ca="1" si="320">IF(AX$25="C",AX27*EXP(AX28*(AX20-AX26-1)/365)*NORMDIST((LN(AX27*EXP(AX28*(AX20-AX26-1)/365)/AX19)+0.5*AX32*AX32*(AX20-AX26-1)/365)/AX32/SQRT((AX20-AX26-1)/365),0,1,TRUE)-AX19*NORMDIST((LN(AX27*EXP(AX28*(AX20-AX26-1)/365)/AX19)-0.5*AX32*AX32*(AX20-AX26-1)/365)/AX32/SQRT((AX20-AX26-1)/365),0,1,TRUE),IF(AX$25="P",-1*AX27*EXP(AX28*(AX20-AX26-1)/365)*NORMDIST((-1*LN(AX27*EXP(AX28*(AX20-AX26-1)/365)/AX19)-0.5*AX32*AX32*(AX20-AX26-1)/365)/AX32/SQRT((AX20-AX26-1)/365),0,1,TRUE)+AX19*NORMDIST((-1*LN(AX27*EXP(AX28*(AX20-AX26-1)/365)/AX19)+0.5*AX32*AX32*(AX20-AX26-1)/365)/AX32/SQRT((AX20-AX26-1)/365),0,1,TRUE),0))*EXP(-1*AX29*(AX20-AX26-1)/365)-IF(AX$25="C",AX27*EXP(AX28*(AX20-AX26)/365)*NORMDIST((LN(AX27*EXP(AX28*(AX20-AX26)/365)/AX19)+0.5*AX32*AX32*(AX20-AX26)/365)/AX32/SQRT((AX20-AX26)/365),0,1,TRUE)-AX19*NORMDIST((LN(AX27*EXP(AX28*(AX20-AX26)/365)/AX19)-0.5*AX32*AX32*(AX20-AX26)/365)/AX32/SQRT((AX20-AX26)/365),0,1,TRUE),IF(AX$25="P",-1*AX27*EXP(AX28*(AX20-AX26)/365)*NORMDIST((-1*LN(AX27*EXP(AX28*(AX20-AX26)/365)/AX19)-0.5*AX32*AX32*(AX20-AX26)/365)/AX32/SQRT((AX20-AX26)/365),0,1,TRUE)+AX19*NORMDIST((-1*LN(AX27*EXP(AX28*(AX20-AX26)/365)/AX19)+0.5*AX32*AX32*(AX20-AX26)/365)/AX32/SQRT((AX20-AX26)/365),0,1,TRUE),0))*EXP(-1*AX29*(AX20-AX26)/365)</f>
        <v>6.8440011124530429</v>
      </c>
      <c r="AY51" s="254">
        <f t="shared" ca="1" si="320"/>
        <v>6.4851599293633626</v>
      </c>
      <c r="AZ51" s="254">
        <f t="shared" ca="1" si="320"/>
        <v>6.1284502656217228</v>
      </c>
      <c r="BA51" s="254">
        <f t="shared" ca="1" si="320"/>
        <v>5.7769020244195417</v>
      </c>
      <c r="BB51" s="254">
        <f t="shared" ca="1" si="320"/>
        <v>5.4770102847924136</v>
      </c>
      <c r="BC51" s="254">
        <f t="shared" ca="1" si="320"/>
        <v>5.2202562431739352</v>
      </c>
      <c r="BD51" s="254">
        <f t="shared" ref="BD51:BE51" si="321">IF(BD$25="C",BD27*EXP(BD28*(BD20-BD26-1)/365)*NORMDIST((LN(BD27*EXP(BD28*(BD20-BD26-1)/365)/BD19)+0.5*BD32*BD32*(BD20-BD26-1)/365)/BD32/SQRT((BD20-BD26-1)/365),0,1,TRUE)-BD19*NORMDIST((LN(BD27*EXP(BD28*(BD20-BD26-1)/365)/BD19)-0.5*BD32*BD32*(BD20-BD26-1)/365)/BD32/SQRT((BD20-BD26-1)/365),0,1,TRUE),IF(BD$25="P",-1*BD27*EXP(BD28*(BD20-BD26-1)/365)*NORMDIST((-1*LN(BD27*EXP(BD28*(BD20-BD26-1)/365)/BD19)-0.5*BD32*BD32*(BD20-BD26-1)/365)/BD32/SQRT((BD20-BD26-1)/365),0,1,TRUE)+BD19*NORMDIST((-1*LN(BD27*EXP(BD28*(BD20-BD26-1)/365)/BD19)+0.5*BD32*BD32*(BD20-BD26-1)/365)/BD32/SQRT((BD20-BD26-1)/365),0,1,TRUE),0))*EXP(-1*BD29*(BD20-BD26-1)/365)-IF(BD$25="C",BD27*EXP(BD28*(BD20-BD26)/365)*NORMDIST((LN(BD27*EXP(BD28*(BD20-BD26)/365)/BD19)+0.5*BD32*BD32*(BD20-BD26)/365)/BD32/SQRT((BD20-BD26)/365),0,1,TRUE)-BD19*NORMDIST((LN(BD27*EXP(BD28*(BD20-BD26)/365)/BD19)-0.5*BD32*BD32*(BD20-BD26)/365)/BD32/SQRT((BD20-BD26)/365),0,1,TRUE),IF(BD$25="P",-1*BD27*EXP(BD28*(BD20-BD26)/365)*NORMDIST((-1*LN(BD27*EXP(BD28*(BD20-BD26)/365)/BD19)-0.5*BD32*BD32*(BD20-BD26)/365)/BD32/SQRT((BD20-BD26)/365),0,1,TRUE)+BD19*NORMDIST((-1*LN(BD27*EXP(BD28*(BD20-BD26)/365)/BD19)+0.5*BD32*BD32*(BD20-BD26)/365)/BD32/SQRT((BD20-BD26)/365),0,1,TRUE),0))*EXP(-1*BD29*(BD20-BD26)/365)</f>
        <v>0</v>
      </c>
      <c r="BE51" s="254">
        <f t="shared" si="321"/>
        <v>0</v>
      </c>
      <c r="BF51" s="254">
        <f t="shared" ca="1" si="320"/>
        <v>4.5259760265016666</v>
      </c>
      <c r="BG51" s="254">
        <f t="shared" ca="1" si="320"/>
        <v>4.3038091196776804</v>
      </c>
      <c r="BH51" s="254">
        <f t="shared" ca="1" si="320"/>
        <v>4.0839583255256002</v>
      </c>
      <c r="BI51" s="254">
        <f t="shared" ca="1" si="320"/>
        <v>3.8678547156232526</v>
      </c>
      <c r="BJ51" s="254">
        <f t="shared" ca="1" si="320"/>
        <v>3.6836534752292209</v>
      </c>
      <c r="BK51" s="254">
        <f t="shared" ca="1" si="320"/>
        <v>3.5258639891417261</v>
      </c>
      <c r="BL51" s="254">
        <f t="shared" ref="BL51:BM51" si="322">IF(BL$25="C",BL27*EXP(BL28*(BL20-BL26-1)/365)*NORMDIST((LN(BL27*EXP(BL28*(BL20-BL26-1)/365)/BL19)+0.5*BL32*BL32*(BL20-BL26-1)/365)/BL32/SQRT((BL20-BL26-1)/365),0,1,TRUE)-BL19*NORMDIST((LN(BL27*EXP(BL28*(BL20-BL26-1)/365)/BL19)-0.5*BL32*BL32*(BL20-BL26-1)/365)/BL32/SQRT((BL20-BL26-1)/365),0,1,TRUE),IF(BL$25="P",-1*BL27*EXP(BL28*(BL20-BL26-1)/365)*NORMDIST((-1*LN(BL27*EXP(BL28*(BL20-BL26-1)/365)/BL19)-0.5*BL32*BL32*(BL20-BL26-1)/365)/BL32/SQRT((BL20-BL26-1)/365),0,1,TRUE)+BL19*NORMDIST((-1*LN(BL27*EXP(BL28*(BL20-BL26-1)/365)/BL19)+0.5*BL32*BL32*(BL20-BL26-1)/365)/BL32/SQRT((BL20-BL26-1)/365),0,1,TRUE),0))*EXP(-1*BL29*(BL20-BL26-1)/365)-IF(BL$25="C",BL27*EXP(BL28*(BL20-BL26)/365)*NORMDIST((LN(BL27*EXP(BL28*(BL20-BL26)/365)/BL19)+0.5*BL32*BL32*(BL20-BL26)/365)/BL32/SQRT((BL20-BL26)/365),0,1,TRUE)-BL19*NORMDIST((LN(BL27*EXP(BL28*(BL20-BL26)/365)/BL19)-0.5*BL32*BL32*(BL20-BL26)/365)/BL32/SQRT((BL20-BL26)/365),0,1,TRUE),IF(BL$25="P",-1*BL27*EXP(BL28*(BL20-BL26)/365)*NORMDIST((-1*LN(BL27*EXP(BL28*(BL20-BL26)/365)/BL19)-0.5*BL32*BL32*(BL20-BL26)/365)/BL32/SQRT((BL20-BL26)/365),0,1,TRUE)+BL19*NORMDIST((-1*LN(BL27*EXP(BL28*(BL20-BL26)/365)/BL19)+0.5*BL32*BL32*(BL20-BL26)/365)/BL32/SQRT((BL20-BL26)/365),0,1,TRUE),0))*EXP(-1*BL29*(BL20-BL26)/365)</f>
        <v>0</v>
      </c>
      <c r="BM51" s="254">
        <f t="shared" si="322"/>
        <v>0</v>
      </c>
      <c r="BN51" s="254">
        <f t="shared" ca="1" si="320"/>
        <v>4.098478915189844</v>
      </c>
      <c r="BO51" s="254">
        <f t="shared" ca="1" si="320"/>
        <v>3.9042813624837436</v>
      </c>
      <c r="BP51" s="254">
        <f t="shared" ca="1" si="320"/>
        <v>3.7118729307039757</v>
      </c>
      <c r="BQ51" s="254">
        <f t="shared" ca="1" si="320"/>
        <v>3.5224337297750026</v>
      </c>
      <c r="BR51" s="254">
        <f t="shared" ca="1" si="320"/>
        <v>3.3606587033518736</v>
      </c>
      <c r="BS51" s="254">
        <f t="shared" ca="1" si="320"/>
        <v>3.2218212645620952</v>
      </c>
      <c r="BT51" s="254">
        <f t="shared" ref="BT51:BU51" si="323">IF(BT$25="C",BT27*EXP(BT28*(BT20-BT26-1)/365)*NORMDIST((LN(BT27*EXP(BT28*(BT20-BT26-1)/365)/BT19)+0.5*BT32*BT32*(BT20-BT26-1)/365)/BT32/SQRT((BT20-BT26-1)/365),0,1,TRUE)-BT19*NORMDIST((LN(BT27*EXP(BT28*(BT20-BT26-1)/365)/BT19)-0.5*BT32*BT32*(BT20-BT26-1)/365)/BT32/SQRT((BT20-BT26-1)/365),0,1,TRUE),IF(BT$25="P",-1*BT27*EXP(BT28*(BT20-BT26-1)/365)*NORMDIST((-1*LN(BT27*EXP(BT28*(BT20-BT26-1)/365)/BT19)-0.5*BT32*BT32*(BT20-BT26-1)/365)/BT32/SQRT((BT20-BT26-1)/365),0,1,TRUE)+BT19*NORMDIST((-1*LN(BT27*EXP(BT28*(BT20-BT26-1)/365)/BT19)+0.5*BT32*BT32*(BT20-BT26-1)/365)/BT32/SQRT((BT20-BT26-1)/365),0,1,TRUE),0))*EXP(-1*BT29*(BT20-BT26-1)/365)-IF(BT$25="C",BT27*EXP(BT28*(BT20-BT26)/365)*NORMDIST((LN(BT27*EXP(BT28*(BT20-BT26)/365)/BT19)+0.5*BT32*BT32*(BT20-BT26)/365)/BT32/SQRT((BT20-BT26)/365),0,1,TRUE)-BT19*NORMDIST((LN(BT27*EXP(BT28*(BT20-BT26)/365)/BT19)-0.5*BT32*BT32*(BT20-BT26)/365)/BT32/SQRT((BT20-BT26)/365),0,1,TRUE),IF(BT$25="P",-1*BT27*EXP(BT28*(BT20-BT26)/365)*NORMDIST((-1*LN(BT27*EXP(BT28*(BT20-BT26)/365)/BT19)-0.5*BT32*BT32*(BT20-BT26)/365)/BT32/SQRT((BT20-BT26)/365),0,1,TRUE)+BT19*NORMDIST((-1*LN(BT27*EXP(BT28*(BT20-BT26)/365)/BT19)+0.5*BT32*BT32*(BT20-BT26)/365)/BT32/SQRT((BT20-BT26)/365),0,1,TRUE),0))*EXP(-1*BT29*(BT20-BT26)/365)</f>
        <v>0</v>
      </c>
      <c r="BU51" s="254">
        <f t="shared" si="323"/>
        <v>0</v>
      </c>
      <c r="BV51" s="254">
        <f t="shared" ca="1" si="320"/>
        <v>-0.4546724017818633</v>
      </c>
      <c r="BW51" s="254">
        <f t="shared" ca="1" si="320"/>
        <v>-0.37304863142435352</v>
      </c>
      <c r="BX51" s="254">
        <f t="shared" ca="1" si="320"/>
        <v>-0.29480795481322275</v>
      </c>
      <c r="BY51" s="254">
        <f t="shared" ca="1" si="320"/>
        <v>-0.2207477349011242</v>
      </c>
      <c r="BZ51" s="254">
        <f t="shared" ca="1" si="320"/>
        <v>-0.16014834812176559</v>
      </c>
      <c r="CA51" s="254">
        <f t="shared" ca="1" si="320"/>
        <v>-0.11028985614257181</v>
      </c>
      <c r="CB51" s="254">
        <f t="shared" ref="CB51:CC51" si="324">IF(CB$25="C",CB27*EXP(CB28*(CB20-CB26-1)/365)*NORMDIST((LN(CB27*EXP(CB28*(CB20-CB26-1)/365)/CB19)+0.5*CB32*CB32*(CB20-CB26-1)/365)/CB32/SQRT((CB20-CB26-1)/365),0,1,TRUE)-CB19*NORMDIST((LN(CB27*EXP(CB28*(CB20-CB26-1)/365)/CB19)-0.5*CB32*CB32*(CB20-CB26-1)/365)/CB32/SQRT((CB20-CB26-1)/365),0,1,TRUE),IF(CB$25="P",-1*CB27*EXP(CB28*(CB20-CB26-1)/365)*NORMDIST((-1*LN(CB27*EXP(CB28*(CB20-CB26-1)/365)/CB19)-0.5*CB32*CB32*(CB20-CB26-1)/365)/CB32/SQRT((CB20-CB26-1)/365),0,1,TRUE)+CB19*NORMDIST((-1*LN(CB27*EXP(CB28*(CB20-CB26-1)/365)/CB19)+0.5*CB32*CB32*(CB20-CB26-1)/365)/CB32/SQRT((CB20-CB26-1)/365),0,1,TRUE),0))*EXP(-1*CB29*(CB20-CB26-1)/365)-IF(CB$25="C",CB27*EXP(CB28*(CB20-CB26)/365)*NORMDIST((LN(CB27*EXP(CB28*(CB20-CB26)/365)/CB19)+0.5*CB32*CB32*(CB20-CB26)/365)/CB32/SQRT((CB20-CB26)/365),0,1,TRUE)-CB19*NORMDIST((LN(CB27*EXP(CB28*(CB20-CB26)/365)/CB19)-0.5*CB32*CB32*(CB20-CB26)/365)/CB32/SQRT((CB20-CB26)/365),0,1,TRUE),IF(CB$25="P",-1*CB27*EXP(CB28*(CB20-CB26)/365)*NORMDIST((-1*LN(CB27*EXP(CB28*(CB20-CB26)/365)/CB19)-0.5*CB32*CB32*(CB20-CB26)/365)/CB32/SQRT((CB20-CB26)/365),0,1,TRUE)+CB19*NORMDIST((-1*LN(CB27*EXP(CB28*(CB20-CB26)/365)/CB19)+0.5*CB32*CB32*(CB20-CB26)/365)/CB32/SQRT((CB20-CB26)/365),0,1,TRUE),0))*EXP(-1*CB29*(CB20-CB26)/365)</f>
        <v>0</v>
      </c>
      <c r="CC51" s="254">
        <f t="shared" si="324"/>
        <v>0</v>
      </c>
      <c r="CD51" s="254">
        <f t="shared" ca="1" si="320"/>
        <v>-0.48361917985494074</v>
      </c>
      <c r="CE51" s="254">
        <f t="shared" ca="1" si="320"/>
        <v>-0.40248963291696782</v>
      </c>
      <c r="CF51" s="254">
        <f t="shared" ca="1" si="320"/>
        <v>-0.32447623321968422</v>
      </c>
      <c r="CG51" s="254">
        <f t="shared" ca="1" si="320"/>
        <v>-0.25039085461867217</v>
      </c>
      <c r="CH51" s="254">
        <f t="shared" ca="1" si="320"/>
        <v>-0.18958014206373264</v>
      </c>
      <c r="CI51" s="254">
        <f t="shared" ca="1" si="320"/>
        <v>-0.13940522865868843</v>
      </c>
      <c r="CJ51" s="254">
        <f t="shared" ref="CJ51:CK51" si="325">IF(CJ$25="C",CJ27*EXP(CJ28*(CJ20-CJ26-1)/365)*NORMDIST((LN(CJ27*EXP(CJ28*(CJ20-CJ26-1)/365)/CJ19)+0.5*CJ32*CJ32*(CJ20-CJ26-1)/365)/CJ32/SQRT((CJ20-CJ26-1)/365),0,1,TRUE)-CJ19*NORMDIST((LN(CJ27*EXP(CJ28*(CJ20-CJ26-1)/365)/CJ19)-0.5*CJ32*CJ32*(CJ20-CJ26-1)/365)/CJ32/SQRT((CJ20-CJ26-1)/365),0,1,TRUE),IF(CJ$25="P",-1*CJ27*EXP(CJ28*(CJ20-CJ26-1)/365)*NORMDIST((-1*LN(CJ27*EXP(CJ28*(CJ20-CJ26-1)/365)/CJ19)-0.5*CJ32*CJ32*(CJ20-CJ26-1)/365)/CJ32/SQRT((CJ20-CJ26-1)/365),0,1,TRUE)+CJ19*NORMDIST((-1*LN(CJ27*EXP(CJ28*(CJ20-CJ26-1)/365)/CJ19)+0.5*CJ32*CJ32*(CJ20-CJ26-1)/365)/CJ32/SQRT((CJ20-CJ26-1)/365),0,1,TRUE),0))*EXP(-1*CJ29*(CJ20-CJ26-1)/365)-IF(CJ$25="C",CJ27*EXP(CJ28*(CJ20-CJ26)/365)*NORMDIST((LN(CJ27*EXP(CJ28*(CJ20-CJ26)/365)/CJ19)+0.5*CJ32*CJ32*(CJ20-CJ26)/365)/CJ32/SQRT((CJ20-CJ26)/365),0,1,TRUE)-CJ19*NORMDIST((LN(CJ27*EXP(CJ28*(CJ20-CJ26)/365)/CJ19)-0.5*CJ32*CJ32*(CJ20-CJ26)/365)/CJ32/SQRT((CJ20-CJ26)/365),0,1,TRUE),IF(CJ$25="P",-1*CJ27*EXP(CJ28*(CJ20-CJ26)/365)*NORMDIST((-1*LN(CJ27*EXP(CJ28*(CJ20-CJ26)/365)/CJ19)-0.5*CJ32*CJ32*(CJ20-CJ26)/365)/CJ32/SQRT((CJ20-CJ26)/365),0,1,TRUE)+CJ19*NORMDIST((-1*LN(CJ27*EXP(CJ28*(CJ20-CJ26)/365)/CJ19)+0.5*CJ32*CJ32*(CJ20-CJ26)/365)/CJ32/SQRT((CJ20-CJ26)/365),0,1,TRUE),0))*EXP(-1*CJ29*(CJ20-CJ26)/365)</f>
        <v>0</v>
      </c>
      <c r="CK51" s="254">
        <f t="shared" si="325"/>
        <v>0</v>
      </c>
      <c r="CL51" s="254">
        <f t="shared" ref="CL51:CQ51" ca="1" si="326">IF(CL$25="C",CL27*EXP(CL28*(CL20-CL26-1)/365)*NORMDIST((LN(CL27*EXP(CL28*(CL20-CL26-1)/365)/CL19)+0.5*CL32*CL32*(CL20-CL26-1)/365)/CL32/SQRT((CL20-CL26-1)/365),0,1,TRUE)-CL19*NORMDIST((LN(CL27*EXP(CL28*(CL20-CL26-1)/365)/CL19)-0.5*CL32*CL32*(CL20-CL26-1)/365)/CL32/SQRT((CL20-CL26-1)/365),0,1,TRUE),IF(CL$25="P",-1*CL27*EXP(CL28*(CL20-CL26-1)/365)*NORMDIST((-1*LN(CL27*EXP(CL28*(CL20-CL26-1)/365)/CL19)-0.5*CL32*CL32*(CL20-CL26-1)/365)/CL32/SQRT((CL20-CL26-1)/365),0,1,TRUE)+CL19*NORMDIST((-1*LN(CL27*EXP(CL28*(CL20-CL26-1)/365)/CL19)+0.5*CL32*CL32*(CL20-CL26-1)/365)/CL32/SQRT((CL20-CL26-1)/365),0,1,TRUE),0))*EXP(-1*CL29*(CL20-CL26-1)/365)-IF(CL$25="C",CL27*EXP(CL28*(CL20-CL26)/365)*NORMDIST((LN(CL27*EXP(CL28*(CL20-CL26)/365)/CL19)+0.5*CL32*CL32*(CL20-CL26)/365)/CL32/SQRT((CL20-CL26)/365),0,1,TRUE)-CL19*NORMDIST((LN(CL27*EXP(CL28*(CL20-CL26)/365)/CL19)-0.5*CL32*CL32*(CL20-CL26)/365)/CL32/SQRT((CL20-CL26)/365),0,1,TRUE),IF(CL$25="P",-1*CL27*EXP(CL28*(CL20-CL26)/365)*NORMDIST((-1*LN(CL27*EXP(CL28*(CL20-CL26)/365)/CL19)-0.5*CL32*CL32*(CL20-CL26)/365)/CL32/SQRT((CL20-CL26)/365),0,1,TRUE)+CL19*NORMDIST((-1*LN(CL27*EXP(CL28*(CL20-CL26)/365)/CL19)+0.5*CL32*CL32*(CL20-CL26)/365)/CL32/SQRT((CL20-CL26)/365),0,1,TRUE),0))*EXP(-1*CL29*(CL20-CL26)/365)</f>
        <v>-0.65413260503760284</v>
      </c>
      <c r="CM51" s="254">
        <f t="shared" ca="1" si="326"/>
        <v>-0.59625140152479617</v>
      </c>
      <c r="CN51" s="254">
        <f t="shared" ca="1" si="326"/>
        <v>-0.53760665627373783</v>
      </c>
      <c r="CO51" s="254">
        <f t="shared" ca="1" si="326"/>
        <v>-0.47900985940009377</v>
      </c>
      <c r="CP51" s="254">
        <f t="shared" ca="1" si="326"/>
        <v>-0.42862014165916662</v>
      </c>
      <c r="CQ51" s="254">
        <f t="shared" ca="1" si="326"/>
        <v>-0.38534441166507349</v>
      </c>
      <c r="CR51" s="254">
        <f t="shared" ref="CR51:CS51" si="327">IF(CR$25="C",CR27*EXP(CR28*(CR20-CR26-1)/365)*NORMDIST((LN(CR27*EXP(CR28*(CR20-CR26-1)/365)/CR19)+0.5*CR32*CR32*(CR20-CR26-1)/365)/CR32/SQRT((CR20-CR26-1)/365),0,1,TRUE)-CR19*NORMDIST((LN(CR27*EXP(CR28*(CR20-CR26-1)/365)/CR19)-0.5*CR32*CR32*(CR20-CR26-1)/365)/CR32/SQRT((CR20-CR26-1)/365),0,1,TRUE),IF(CR$25="P",-1*CR27*EXP(CR28*(CR20-CR26-1)/365)*NORMDIST((-1*LN(CR27*EXP(CR28*(CR20-CR26-1)/365)/CR19)-0.5*CR32*CR32*(CR20-CR26-1)/365)/CR32/SQRT((CR20-CR26-1)/365),0,1,TRUE)+CR19*NORMDIST((-1*LN(CR27*EXP(CR28*(CR20-CR26-1)/365)/CR19)+0.5*CR32*CR32*(CR20-CR26-1)/365)/CR32/SQRT((CR20-CR26-1)/365),0,1,TRUE),0))*EXP(-1*CR29*(CR20-CR26-1)/365)-IF(CR$25="C",CR27*EXP(CR28*(CR20-CR26)/365)*NORMDIST((LN(CR27*EXP(CR28*(CR20-CR26)/365)/CR19)+0.5*CR32*CR32*(CR20-CR26)/365)/CR32/SQRT((CR20-CR26)/365),0,1,TRUE)-CR19*NORMDIST((LN(CR27*EXP(CR28*(CR20-CR26)/365)/CR19)-0.5*CR32*CR32*(CR20-CR26)/365)/CR32/SQRT((CR20-CR26)/365),0,1,TRUE),IF(CR$25="P",-1*CR27*EXP(CR28*(CR20-CR26)/365)*NORMDIST((-1*LN(CR27*EXP(CR28*(CR20-CR26)/365)/CR19)-0.5*CR32*CR32*(CR20-CR26)/365)/CR32/SQRT((CR20-CR26)/365),0,1,TRUE)+CR19*NORMDIST((-1*LN(CR27*EXP(CR28*(CR20-CR26)/365)/CR19)+0.5*CR32*CR32*(CR20-CR26)/365)/CR32/SQRT((CR20-CR26)/365),0,1,TRUE),0))*EXP(-1*CR29*(CR20-CR26)/365)</f>
        <v>0</v>
      </c>
      <c r="CS51" s="254">
        <f t="shared" si="327"/>
        <v>0</v>
      </c>
    </row>
    <row r="52" spans="1:97">
      <c r="A52" t="s">
        <v>9</v>
      </c>
      <c r="B52" s="254">
        <f t="shared" ref="B52:AJ52" ca="1" si="328">IF(B$25="C",B27*EXP(B28*(B20-B26)/365)*NORMDIST((LN(B27*EXP(B28*(B20-B26)/365)/B19)+0.5*(B32+1%)*(B32+1%)*(B20-B26)/365)/(B32+1%)/SQRT((B20-B26)/365),0,1,TRUE)-B19*NORMDIST((LN(B27*EXP(B28*(B20-B26)/365)/B19)-0.5*(B32+1%)*(B32+1%)*(B20-B26)/365)/(B32+1%)/SQRT((B20-B26)/365),0,1,TRUE),IF(B$25="P",-1*B27*EXP(B28*(B20-B26)/365)*NORMDIST((-1*LN(B27*EXP(B28*(B20-B26)/365)/B19)-0.5*(B32+1%)*(B32+1%)*(B20-B26)/365)/(B32+1%)/SQRT((B20-B26)/365),0,1,TRUE)+B19*NORMDIST((-1*LN(B27*EXP(B28*(B20-B26)/365)/B19)+0.5*(B32+1%)*(B32+1%)*(B20-B26)/365)/(B32+1%)/SQRT((B20-B26)/365),0,1,TRUE),0))*EXP(-1*B29*(B20-B26)/365)-IF(B$25="C",B27*EXP(B28*(B20-B26)/365)*NORMDIST((LN(B27*EXP(B28*(B20-B26)/365)/B19)+0.5*B32*B32*(B20-B26)/365)/B32/SQRT((B20-B26)/365),0,1,TRUE)-B19*NORMDIST((LN(B27*EXP(B28*(B20-B26)/365)/B19)-0.5*B32*B32*(B20-B26)/365)/B32/SQRT((B20-B26)/365),0,1,TRUE),IF(B$25="P",-1*B27*EXP(B28*(B20-B26)/365)*NORMDIST((-1*LN(B27*EXP(B28*(B20-B26)/365)/B19)-0.5*B32*B32*(B20-B26)/365)/B32/SQRT((B20-B26)/365),0,1,TRUE)+B19*NORMDIST((-1*LN(B27*EXP(B28*(B20-B26)/365)/B19)+0.5*B32*B32*(B20-B26)/365)/B32/SQRT((B20-B26)/365),0,1,TRUE),0))*EXP(-1*B29*(B20-B26)/365)</f>
        <v>522.75835478601584</v>
      </c>
      <c r="C52" s="254">
        <f t="shared" ca="1" si="328"/>
        <v>549.06257555164666</v>
      </c>
      <c r="D52" s="254">
        <f t="shared" ca="1" si="328"/>
        <v>574.59011081403878</v>
      </c>
      <c r="E52" s="254">
        <f t="shared" ref="E52:F52" ca="1" si="329">IF(E$25="C",E27*EXP(E28*(E20-E26)/365)*NORMDIST((LN(E27*EXP(E28*(E20-E26)/365)/E19)+0.5*(E32+1%)*(E32+1%)*(E20-E26)/365)/(E32+1%)/SQRT((E20-E26)/365),0,1,TRUE)-E19*NORMDIST((LN(E27*EXP(E28*(E20-E26)/365)/E19)-0.5*(E32+1%)*(E32+1%)*(E20-E26)/365)/(E32+1%)/SQRT((E20-E26)/365),0,1,TRUE),IF(E$25="P",-1*E27*EXP(E28*(E20-E26)/365)*NORMDIST((-1*LN(E27*EXP(E28*(E20-E26)/365)/E19)-0.5*(E32+1%)*(E32+1%)*(E20-E26)/365)/(E32+1%)/SQRT((E20-E26)/365),0,1,TRUE)+E19*NORMDIST((-1*LN(E27*EXP(E28*(E20-E26)/365)/E19)+0.5*(E32+1%)*(E32+1%)*(E20-E26)/365)/(E32+1%)/SQRT((E20-E26)/365),0,1,TRUE),0))*EXP(-1*E29*(E20-E26)/365)-IF(E$25="C",E27*EXP(E28*(E20-E26)/365)*NORMDIST((LN(E27*EXP(E28*(E20-E26)/365)/E19)+0.5*E32*E32*(E20-E26)/365)/E32/SQRT((E20-E26)/365),0,1,TRUE)-E19*NORMDIST((LN(E27*EXP(E28*(E20-E26)/365)/E19)-0.5*E32*E32*(E20-E26)/365)/E32/SQRT((E20-E26)/365),0,1,TRUE),IF(E$25="P",-1*E27*EXP(E28*(E20-E26)/365)*NORMDIST((-1*LN(E27*EXP(E28*(E20-E26)/365)/E19)-0.5*E32*E32*(E20-E26)/365)/E32/SQRT((E20-E26)/365),0,1,TRUE)+E19*NORMDIST((-1*LN(E27*EXP(E28*(E20-E26)/365)/E19)+0.5*E32*E32*(E20-E26)/365)/E32/SQRT((E20-E26)/365),0,1,TRUE),0))*EXP(-1*E29*(E20-E26)/365)</f>
        <v>598.86966752444278</v>
      </c>
      <c r="F52" s="254">
        <f t="shared" ca="1" si="329"/>
        <v>618.65591700526056</v>
      </c>
      <c r="G52" s="254">
        <f t="shared" ref="G52:H52" ca="1" si="330">IF(G$25="C",G27*EXP(G28*(G20-G26)/365)*NORMDIST((LN(G27*EXP(G28*(G20-G26)/365)/G19)+0.5*(G32+1%)*(G32+1%)*(G20-G26)/365)/(G32+1%)/SQRT((G20-G26)/365),0,1,TRUE)-G19*NORMDIST((LN(G27*EXP(G28*(G20-G26)/365)/G19)-0.5*(G32+1%)*(G32+1%)*(G20-G26)/365)/(G32+1%)/SQRT((G20-G26)/365),0,1,TRUE),IF(G$25="P",-1*G27*EXP(G28*(G20-G26)/365)*NORMDIST((-1*LN(G27*EXP(G28*(G20-G26)/365)/G19)-0.5*(G32+1%)*(G32+1%)*(G20-G26)/365)/(G32+1%)/SQRT((G20-G26)/365),0,1,TRUE)+G19*NORMDIST((-1*LN(G27*EXP(G28*(G20-G26)/365)/G19)+0.5*(G32+1%)*(G32+1%)*(G20-G26)/365)/(G32+1%)/SQRT((G20-G26)/365),0,1,TRUE),0))*EXP(-1*G29*(G20-G26)/365)-IF(G$25="C",G27*EXP(G28*(G20-G26)/365)*NORMDIST((LN(G27*EXP(G28*(G20-G26)/365)/G19)+0.5*G32*G32*(G20-G26)/365)/G32/SQRT((G20-G26)/365),0,1,TRUE)-G19*NORMDIST((LN(G27*EXP(G28*(G20-G26)/365)/G19)-0.5*G32*G32*(G20-G26)/365)/G32/SQRT((G20-G26)/365),0,1,TRUE),IF(G$25="P",-1*G27*EXP(G28*(G20-G26)/365)*NORMDIST((-1*LN(G27*EXP(G28*(G20-G26)/365)/G19)-0.5*G32*G32*(G20-G26)/365)/G32/SQRT((G20-G26)/365),0,1,TRUE)+G19*NORMDIST((-1*LN(G27*EXP(G28*(G20-G26)/365)/G19)+0.5*G32*G32*(G20-G26)/365)/G32/SQRT((G20-G26)/365),0,1,TRUE),0))*EXP(-1*G29*(G20-G26)/365)</f>
        <v>634.7393956937758</v>
      </c>
      <c r="H52" s="254">
        <f t="shared" si="330"/>
        <v>0</v>
      </c>
      <c r="I52" s="254">
        <f t="shared" ref="I52" si="331">IF(I$25="C",I27*EXP(I28*(I20-I26)/365)*NORMDIST((LN(I27*EXP(I28*(I20-I26)/365)/I19)+0.5*(I32+1%)*(I32+1%)*(I20-I26)/365)/(I32+1%)/SQRT((I20-I26)/365),0,1,TRUE)-I19*NORMDIST((LN(I27*EXP(I28*(I20-I26)/365)/I19)-0.5*(I32+1%)*(I32+1%)*(I20-I26)/365)/(I32+1%)/SQRT((I20-I26)/365),0,1,TRUE),IF(I$25="P",-1*I27*EXP(I28*(I20-I26)/365)*NORMDIST((-1*LN(I27*EXP(I28*(I20-I26)/365)/I19)-0.5*(I32+1%)*(I32+1%)*(I20-I26)/365)/(I32+1%)/SQRT((I20-I26)/365),0,1,TRUE)+I19*NORMDIST((-1*LN(I27*EXP(I28*(I20-I26)/365)/I19)+0.5*(I32+1%)*(I32+1%)*(I20-I26)/365)/(I32+1%)/SQRT((I20-I26)/365),0,1,TRUE),0))*EXP(-1*I29*(I20-I26)/365)-IF(I$25="C",I27*EXP(I28*(I20-I26)/365)*NORMDIST((LN(I27*EXP(I28*(I20-I26)/365)/I19)+0.5*I32*I32*(I20-I26)/365)/I32/SQRT((I20-I26)/365),0,1,TRUE)-I19*NORMDIST((LN(I27*EXP(I28*(I20-I26)/365)/I19)-0.5*I32*I32*(I20-I26)/365)/I32/SQRT((I20-I26)/365),0,1,TRUE),IF(I$25="P",-1*I27*EXP(I28*(I20-I26)/365)*NORMDIST((-1*LN(I27*EXP(I28*(I20-I26)/365)/I19)-0.5*I32*I32*(I20-I26)/365)/I32/SQRT((I20-I26)/365),0,1,TRUE)+I19*NORMDIST((-1*LN(I27*EXP(I28*(I20-I26)/365)/I19)+0.5*I32*I32*(I20-I26)/365)/I32/SQRT((I20-I26)/365),0,1,TRUE),0))*EXP(-1*I29*(I20-I26)/365)</f>
        <v>0</v>
      </c>
      <c r="J52" s="254">
        <f t="shared" ca="1" si="328"/>
        <v>552.60575255062031</v>
      </c>
      <c r="K52" s="254">
        <f t="shared" ca="1" si="328"/>
        <v>569.74965895176865</v>
      </c>
      <c r="L52" s="254">
        <f t="shared" ca="1" si="328"/>
        <v>585.89375590883719</v>
      </c>
      <c r="M52" s="254">
        <f t="shared" ref="M52:N52" ca="1" si="332">IF(M$25="C",M27*EXP(M28*(M20-M26)/365)*NORMDIST((LN(M27*EXP(M28*(M20-M26)/365)/M19)+0.5*(M32+1%)*(M32+1%)*(M20-M26)/365)/(M32+1%)/SQRT((M20-M26)/365),0,1,TRUE)-M19*NORMDIST((LN(M27*EXP(M28*(M20-M26)/365)/M19)-0.5*(M32+1%)*(M32+1%)*(M20-M26)/365)/(M32+1%)/SQRT((M20-M26)/365),0,1,TRUE),IF(M$25="P",-1*M27*EXP(M28*(M20-M26)/365)*NORMDIST((-1*LN(M27*EXP(M28*(M20-M26)/365)/M19)-0.5*(M32+1%)*(M32+1%)*(M20-M26)/365)/(M32+1%)/SQRT((M20-M26)/365),0,1,TRUE)+M19*NORMDIST((-1*LN(M27*EXP(M28*(M20-M26)/365)/M19)+0.5*(M32+1%)*(M32+1%)*(M20-M26)/365)/(M32+1%)/SQRT((M20-M26)/365),0,1,TRUE),0))*EXP(-1*M29*(M20-M26)/365)-IF(M$25="C",M27*EXP(M28*(M20-M26)/365)*NORMDIST((LN(M27*EXP(M28*(M20-M26)/365)/M19)+0.5*M32*M32*(M20-M26)/365)/M32/SQRT((M20-M26)/365),0,1,TRUE)-M19*NORMDIST((LN(M27*EXP(M28*(M20-M26)/365)/M19)-0.5*M32*M32*(M20-M26)/365)/M32/SQRT((M20-M26)/365),0,1,TRUE),IF(M$25="P",-1*M27*EXP(M28*(M20-M26)/365)*NORMDIST((-1*LN(M27*EXP(M28*(M20-M26)/365)/M19)-0.5*M32*M32*(M20-M26)/365)/M32/SQRT((M20-M26)/365),0,1,TRUE)+M19*NORMDIST((-1*LN(M27*EXP(M28*(M20-M26)/365)/M19)+0.5*M32*M32*(M20-M26)/365)/M32/SQRT((M20-M26)/365),0,1,TRUE),0))*EXP(-1*M29*(M20-M26)/365)</f>
        <v>600.73321054744702</v>
      </c>
      <c r="N52" s="254">
        <f t="shared" ca="1" si="332"/>
        <v>612.38257957092355</v>
      </c>
      <c r="O52" s="254">
        <f t="shared" ref="O52:P52" ca="1" si="333">IF(O$25="C",O27*EXP(O28*(O20-O26)/365)*NORMDIST((LN(O27*EXP(O28*(O20-O26)/365)/O19)+0.5*(O32+1%)*(O32+1%)*(O20-O26)/365)/(O32+1%)/SQRT((O20-O26)/365),0,1,TRUE)-O19*NORMDIST((LN(O27*EXP(O28*(O20-O26)/365)/O19)-0.5*(O32+1%)*(O32+1%)*(O20-O26)/365)/(O32+1%)/SQRT((O20-O26)/365),0,1,TRUE),IF(O$25="P",-1*O27*EXP(O28*(O20-O26)/365)*NORMDIST((-1*LN(O27*EXP(O28*(O20-O26)/365)/O19)-0.5*(O32+1%)*(O32+1%)*(O20-O26)/365)/(O32+1%)/SQRT((O20-O26)/365),0,1,TRUE)+O19*NORMDIST((-1*LN(O27*EXP(O28*(O20-O26)/365)/O19)+0.5*(O32+1%)*(O32+1%)*(O20-O26)/365)/(O32+1%)/SQRT((O20-O26)/365),0,1,TRUE),0))*EXP(-1*O29*(O20-O26)/365)-IF(O$25="C",O27*EXP(O28*(O20-O26)/365)*NORMDIST((LN(O27*EXP(O28*(O20-O26)/365)/O19)+0.5*O32*O32*(O20-O26)/365)/O32/SQRT((O20-O26)/365),0,1,TRUE)-O19*NORMDIST((LN(O27*EXP(O28*(O20-O26)/365)/O19)-0.5*O32*O32*(O20-O26)/365)/O32/SQRT((O20-O26)/365),0,1,TRUE),IF(O$25="P",-1*O27*EXP(O28*(O20-O26)/365)*NORMDIST((-1*LN(O27*EXP(O28*(O20-O26)/365)/O19)-0.5*O32*O32*(O20-O26)/365)/O32/SQRT((O20-O26)/365),0,1,TRUE)+O19*NORMDIST((-1*LN(O27*EXP(O28*(O20-O26)/365)/O19)+0.5*O32*O32*(O20-O26)/365)/O32/SQRT((O20-O26)/365),0,1,TRUE),0))*EXP(-1*O29*(O20-O26)/365)</f>
        <v>621.48872389586722</v>
      </c>
      <c r="P52" s="254">
        <f t="shared" si="333"/>
        <v>0</v>
      </c>
      <c r="Q52" s="254">
        <f t="shared" ref="Q52" si="334">IF(Q$25="C",Q27*EXP(Q28*(Q20-Q26)/365)*NORMDIST((LN(Q27*EXP(Q28*(Q20-Q26)/365)/Q19)+0.5*(Q32+1%)*(Q32+1%)*(Q20-Q26)/365)/(Q32+1%)/SQRT((Q20-Q26)/365),0,1,TRUE)-Q19*NORMDIST((LN(Q27*EXP(Q28*(Q20-Q26)/365)/Q19)-0.5*(Q32+1%)*(Q32+1%)*(Q20-Q26)/365)/(Q32+1%)/SQRT((Q20-Q26)/365),0,1,TRUE),IF(Q$25="P",-1*Q27*EXP(Q28*(Q20-Q26)/365)*NORMDIST((-1*LN(Q27*EXP(Q28*(Q20-Q26)/365)/Q19)-0.5*(Q32+1%)*(Q32+1%)*(Q20-Q26)/365)/(Q32+1%)/SQRT((Q20-Q26)/365),0,1,TRUE)+Q19*NORMDIST((-1*LN(Q27*EXP(Q28*(Q20-Q26)/365)/Q19)+0.5*(Q32+1%)*(Q32+1%)*(Q20-Q26)/365)/(Q32+1%)/SQRT((Q20-Q26)/365),0,1,TRUE),0))*EXP(-1*Q29*(Q20-Q26)/365)-IF(Q$25="C",Q27*EXP(Q28*(Q20-Q26)/365)*NORMDIST((LN(Q27*EXP(Q28*(Q20-Q26)/365)/Q19)+0.5*Q32*Q32*(Q20-Q26)/365)/Q32/SQRT((Q20-Q26)/365),0,1,TRUE)-Q19*NORMDIST((LN(Q27*EXP(Q28*(Q20-Q26)/365)/Q19)-0.5*Q32*Q32*(Q20-Q26)/365)/Q32/SQRT((Q20-Q26)/365),0,1,TRUE),IF(Q$25="P",-1*Q27*EXP(Q28*(Q20-Q26)/365)*NORMDIST((-1*LN(Q27*EXP(Q28*(Q20-Q26)/365)/Q19)-0.5*Q32*Q32*(Q20-Q26)/365)/Q32/SQRT((Q20-Q26)/365),0,1,TRUE)+Q19*NORMDIST((-1*LN(Q27*EXP(Q28*(Q20-Q26)/365)/Q19)+0.5*Q32*Q32*(Q20-Q26)/365)/Q32/SQRT((Q20-Q26)/365),0,1,TRUE),0))*EXP(-1*Q29*(Q20-Q26)/365)</f>
        <v>0</v>
      </c>
      <c r="R52" s="254">
        <f t="shared" ca="1" si="328"/>
        <v>553.11647894373527</v>
      </c>
      <c r="S52" s="254">
        <f t="shared" ca="1" si="328"/>
        <v>568.57339717629475</v>
      </c>
      <c r="T52" s="254">
        <f t="shared" ca="1" si="328"/>
        <v>583.04172881093291</v>
      </c>
      <c r="U52" s="254">
        <f t="shared" ref="U52:V52" ca="1" si="335">IF(U$25="C",U27*EXP(U28*(U20-U26)/365)*NORMDIST((LN(U27*EXP(U28*(U20-U26)/365)/U19)+0.5*(U32+1%)*(U32+1%)*(U20-U26)/365)/(U32+1%)/SQRT((U20-U26)/365),0,1,TRUE)-U19*NORMDIST((LN(U27*EXP(U28*(U20-U26)/365)/U19)-0.5*(U32+1%)*(U32+1%)*(U20-U26)/365)/(U32+1%)/SQRT((U20-U26)/365),0,1,TRUE),IF(U$25="P",-1*U27*EXP(U28*(U20-U26)/365)*NORMDIST((-1*LN(U27*EXP(U28*(U20-U26)/365)/U19)-0.5*(U32+1%)*(U32+1%)*(U20-U26)/365)/(U32+1%)/SQRT((U20-U26)/365),0,1,TRUE)+U19*NORMDIST((-1*LN(U27*EXP(U28*(U20-U26)/365)/U19)+0.5*(U32+1%)*(U32+1%)*(U20-U26)/365)/(U32+1%)/SQRT((U20-U26)/365),0,1,TRUE),0))*EXP(-1*U29*(U20-U26)/365)-IF(U$25="C",U27*EXP(U28*(U20-U26)/365)*NORMDIST((LN(U27*EXP(U28*(U20-U26)/365)/U19)+0.5*U32*U32*(U20-U26)/365)/U32/SQRT((U20-U26)/365),0,1,TRUE)-U19*NORMDIST((LN(U27*EXP(U28*(U20-U26)/365)/U19)-0.5*U32*U32*(U20-U26)/365)/U32/SQRT((U20-U26)/365),0,1,TRUE),IF(U$25="P",-1*U27*EXP(U28*(U20-U26)/365)*NORMDIST((-1*LN(U27*EXP(U28*(U20-U26)/365)/U19)-0.5*U32*U32*(U20-U26)/365)/U32/SQRT((U20-U26)/365),0,1,TRUE)+U19*NORMDIST((-1*LN(U27*EXP(U28*(U20-U26)/365)/U19)+0.5*U32*U32*(U20-U26)/365)/U32/SQRT((U20-U26)/365),0,1,TRUE),0))*EXP(-1*U29*(U20-U26)/365)</f>
        <v>596.24432943116517</v>
      </c>
      <c r="V52" s="254">
        <f t="shared" ca="1" si="335"/>
        <v>606.52024420271482</v>
      </c>
      <c r="W52" s="254">
        <f t="shared" ref="W52:X52" ca="1" si="336">IF(W$25="C",W27*EXP(W28*(W20-W26)/365)*NORMDIST((LN(W27*EXP(W28*(W20-W26)/365)/W19)+0.5*(W32+1%)*(W32+1%)*(W20-W26)/365)/(W32+1%)/SQRT((W20-W26)/365),0,1,TRUE)-W19*NORMDIST((LN(W27*EXP(W28*(W20-W26)/365)/W19)-0.5*(W32+1%)*(W32+1%)*(W20-W26)/365)/(W32+1%)/SQRT((W20-W26)/365),0,1,TRUE),IF(W$25="P",-1*W27*EXP(W28*(W20-W26)/365)*NORMDIST((-1*LN(W27*EXP(W28*(W20-W26)/365)/W19)-0.5*(W32+1%)*(W32+1%)*(W20-W26)/365)/(W32+1%)/SQRT((W20-W26)/365),0,1,TRUE)+W19*NORMDIST((-1*LN(W27*EXP(W28*(W20-W26)/365)/W19)+0.5*(W32+1%)*(W32+1%)*(W20-W26)/365)/(W32+1%)/SQRT((W20-W26)/365),0,1,TRUE),0))*EXP(-1*W29*(W20-W26)/365)-IF(W$25="C",W27*EXP(W28*(W20-W26)/365)*NORMDIST((LN(W27*EXP(W28*(W20-W26)/365)/W19)+0.5*W32*W32*(W20-W26)/365)/W32/SQRT((W20-W26)/365),0,1,TRUE)-W19*NORMDIST((LN(W27*EXP(W28*(W20-W26)/365)/W19)-0.5*W32*W32*(W20-W26)/365)/W32/SQRT((W20-W26)/365),0,1,TRUE),IF(W$25="P",-1*W27*EXP(W28*(W20-W26)/365)*NORMDIST((-1*LN(W27*EXP(W28*(W20-W26)/365)/W19)-0.5*W32*W32*(W20-W26)/365)/W32/SQRT((W20-W26)/365),0,1,TRUE)+W19*NORMDIST((-1*LN(W27*EXP(W28*(W20-W26)/365)/W19)+0.5*W32*W32*(W20-W26)/365)/W32/SQRT((W20-W26)/365),0,1,TRUE),0))*EXP(-1*W29*(W20-W26)/365)</f>
        <v>614.47569178967024</v>
      </c>
      <c r="X52" s="254">
        <f t="shared" si="336"/>
        <v>0</v>
      </c>
      <c r="Y52" s="254">
        <f t="shared" ref="Y52" si="337">IF(Y$25="C",Y27*EXP(Y28*(Y20-Y26)/365)*NORMDIST((LN(Y27*EXP(Y28*(Y20-Y26)/365)/Y19)+0.5*(Y32+1%)*(Y32+1%)*(Y20-Y26)/365)/(Y32+1%)/SQRT((Y20-Y26)/365),0,1,TRUE)-Y19*NORMDIST((LN(Y27*EXP(Y28*(Y20-Y26)/365)/Y19)-0.5*(Y32+1%)*(Y32+1%)*(Y20-Y26)/365)/(Y32+1%)/SQRT((Y20-Y26)/365),0,1,TRUE),IF(Y$25="P",-1*Y27*EXP(Y28*(Y20-Y26)/365)*NORMDIST((-1*LN(Y27*EXP(Y28*(Y20-Y26)/365)/Y19)-0.5*(Y32+1%)*(Y32+1%)*(Y20-Y26)/365)/(Y32+1%)/SQRT((Y20-Y26)/365),0,1,TRUE)+Y19*NORMDIST((-1*LN(Y27*EXP(Y28*(Y20-Y26)/365)/Y19)+0.5*(Y32+1%)*(Y32+1%)*(Y20-Y26)/365)/(Y32+1%)/SQRT((Y20-Y26)/365),0,1,TRUE),0))*EXP(-1*Y29*(Y20-Y26)/365)-IF(Y$25="C",Y27*EXP(Y28*(Y20-Y26)/365)*NORMDIST((LN(Y27*EXP(Y28*(Y20-Y26)/365)/Y19)+0.5*Y32*Y32*(Y20-Y26)/365)/Y32/SQRT((Y20-Y26)/365),0,1,TRUE)-Y19*NORMDIST((LN(Y27*EXP(Y28*(Y20-Y26)/365)/Y19)-0.5*Y32*Y32*(Y20-Y26)/365)/Y32/SQRT((Y20-Y26)/365),0,1,TRUE),IF(Y$25="P",-1*Y27*EXP(Y28*(Y20-Y26)/365)*NORMDIST((-1*LN(Y27*EXP(Y28*(Y20-Y26)/365)/Y19)-0.5*Y32*Y32*(Y20-Y26)/365)/Y32/SQRT((Y20-Y26)/365),0,1,TRUE)+Y19*NORMDIST((-1*LN(Y27*EXP(Y28*(Y20-Y26)/365)/Y19)+0.5*Y32*Y32*(Y20-Y26)/365)/Y32/SQRT((Y20-Y26)/365),0,1,TRUE),0))*EXP(-1*Y29*(Y20-Y26)/365)</f>
        <v>0</v>
      </c>
      <c r="Z52" s="254">
        <f t="shared" ca="1" si="328"/>
        <v>301.14946780321179</v>
      </c>
      <c r="AA52" s="254">
        <f t="shared" ca="1" si="328"/>
        <v>306.88243898880364</v>
      </c>
      <c r="AB52" s="254">
        <f t="shared" ca="1" si="328"/>
        <v>312.33356247542133</v>
      </c>
      <c r="AC52" s="254">
        <f t="shared" ref="AC52:AD52" ca="1" si="338">IF(AC$25="C",AC27*EXP(AC28*(AC20-AC26)/365)*NORMDIST((LN(AC27*EXP(AC28*(AC20-AC26)/365)/AC19)+0.5*(AC32+1%)*(AC32+1%)*(AC20-AC26)/365)/(AC32+1%)/SQRT((AC20-AC26)/365),0,1,TRUE)-AC19*NORMDIST((LN(AC27*EXP(AC28*(AC20-AC26)/365)/AC19)-0.5*(AC32+1%)*(AC32+1%)*(AC20-AC26)/365)/(AC32+1%)/SQRT((AC20-AC26)/365),0,1,TRUE),IF(AC$25="P",-1*AC27*EXP(AC28*(AC20-AC26)/365)*NORMDIST((-1*LN(AC27*EXP(AC28*(AC20-AC26)/365)/AC19)-0.5*(AC32+1%)*(AC32+1%)*(AC20-AC26)/365)/(AC32+1%)/SQRT((AC20-AC26)/365),0,1,TRUE)+AC19*NORMDIST((-1*LN(AC27*EXP(AC28*(AC20-AC26)/365)/AC19)+0.5*(AC32+1%)*(AC32+1%)*(AC20-AC26)/365)/(AC32+1%)/SQRT((AC20-AC26)/365),0,1,TRUE),0))*EXP(-1*AC29*(AC20-AC26)/365)-IF(AC$25="C",AC27*EXP(AC28*(AC20-AC26)/365)*NORMDIST((LN(AC27*EXP(AC28*(AC20-AC26)/365)/AC19)+0.5*AC32*AC32*(AC20-AC26)/365)/AC32/SQRT((AC20-AC26)/365),0,1,TRUE)-AC19*NORMDIST((LN(AC27*EXP(AC28*(AC20-AC26)/365)/AC19)-0.5*AC32*AC32*(AC20-AC26)/365)/AC32/SQRT((AC20-AC26)/365),0,1,TRUE),IF(AC$25="P",-1*AC27*EXP(AC28*(AC20-AC26)/365)*NORMDIST((-1*LN(AC27*EXP(AC28*(AC20-AC26)/365)/AC19)-0.5*AC32*AC32*(AC20-AC26)/365)/AC32/SQRT((AC20-AC26)/365),0,1,TRUE)+AC19*NORMDIST((-1*LN(AC27*EXP(AC28*(AC20-AC26)/365)/AC19)+0.5*AC32*AC32*(AC20-AC26)/365)/AC32/SQRT((AC20-AC26)/365),0,1,TRUE),0))*EXP(-1*AC29*(AC20-AC26)/365)</f>
        <v>317.40907305210794</v>
      </c>
      <c r="AD52" s="254">
        <f t="shared" ca="1" si="338"/>
        <v>321.45654511357088</v>
      </c>
      <c r="AE52" s="254">
        <f t="shared" ref="AE52:AF52" ca="1" si="339">IF(AE$25="C",AE27*EXP(AE28*(AE20-AE26)/365)*NORMDIST((LN(AE27*EXP(AE28*(AE20-AE26)/365)/AE19)+0.5*(AE32+1%)*(AE32+1%)*(AE20-AE26)/365)/(AE32+1%)/SQRT((AE20-AE26)/365),0,1,TRUE)-AE19*NORMDIST((LN(AE27*EXP(AE28*(AE20-AE26)/365)/AE19)-0.5*(AE32+1%)*(AE32+1%)*(AE20-AE26)/365)/(AE32+1%)/SQRT((AE20-AE26)/365),0,1,TRUE),IF(AE$25="P",-1*AE27*EXP(AE28*(AE20-AE26)/365)*NORMDIST((-1*LN(AE27*EXP(AE28*(AE20-AE26)/365)/AE19)-0.5*(AE32+1%)*(AE32+1%)*(AE20-AE26)/365)/(AE32+1%)/SQRT((AE20-AE26)/365),0,1,TRUE)+AE19*NORMDIST((-1*LN(AE27*EXP(AE28*(AE20-AE26)/365)/AE19)+0.5*(AE32+1%)*(AE32+1%)*(AE20-AE26)/365)/(AE32+1%)/SQRT((AE20-AE26)/365),0,1,TRUE),0))*EXP(-1*AE29*(AE20-AE26)/365)-IF(AE$25="C",AE27*EXP(AE28*(AE20-AE26)/365)*NORMDIST((LN(AE27*EXP(AE28*(AE20-AE26)/365)/AE19)+0.5*AE32*AE32*(AE20-AE26)/365)/AE32/SQRT((AE20-AE26)/365),0,1,TRUE)-AE19*NORMDIST((LN(AE27*EXP(AE28*(AE20-AE26)/365)/AE19)-0.5*AE32*AE32*(AE20-AE26)/365)/AE32/SQRT((AE20-AE26)/365),0,1,TRUE),IF(AE$25="P",-1*AE27*EXP(AE28*(AE20-AE26)/365)*NORMDIST((-1*LN(AE27*EXP(AE28*(AE20-AE26)/365)/AE19)-0.5*AE32*AE32*(AE20-AE26)/365)/AE32/SQRT((AE20-AE26)/365),0,1,TRUE)+AE19*NORMDIST((-1*LN(AE27*EXP(AE28*(AE20-AE26)/365)/AE19)+0.5*AE32*AE32*(AE20-AE26)/365)/AE32/SQRT((AE20-AE26)/365),0,1,TRUE),0))*EXP(-1*AE29*(AE20-AE26)/365)</f>
        <v>324.67649131038661</v>
      </c>
      <c r="AF52" s="254">
        <f t="shared" si="339"/>
        <v>0</v>
      </c>
      <c r="AG52" s="254">
        <f t="shared" ref="AG52" si="340">IF(AG$25="C",AG27*EXP(AG28*(AG20-AG26)/365)*NORMDIST((LN(AG27*EXP(AG28*(AG20-AG26)/365)/AG19)+0.5*(AG32+1%)*(AG32+1%)*(AG20-AG26)/365)/(AG32+1%)/SQRT((AG20-AG26)/365),0,1,TRUE)-AG19*NORMDIST((LN(AG27*EXP(AG28*(AG20-AG26)/365)/AG19)-0.5*(AG32+1%)*(AG32+1%)*(AG20-AG26)/365)/(AG32+1%)/SQRT((AG20-AG26)/365),0,1,TRUE),IF(AG$25="P",-1*AG27*EXP(AG28*(AG20-AG26)/365)*NORMDIST((-1*LN(AG27*EXP(AG28*(AG20-AG26)/365)/AG19)-0.5*(AG32+1%)*(AG32+1%)*(AG20-AG26)/365)/(AG32+1%)/SQRT((AG20-AG26)/365),0,1,TRUE)+AG19*NORMDIST((-1*LN(AG27*EXP(AG28*(AG20-AG26)/365)/AG19)+0.5*(AG32+1%)*(AG32+1%)*(AG20-AG26)/365)/(AG32+1%)/SQRT((AG20-AG26)/365),0,1,TRUE),0))*EXP(-1*AG29*(AG20-AG26)/365)-IF(AG$25="C",AG27*EXP(AG28*(AG20-AG26)/365)*NORMDIST((LN(AG27*EXP(AG28*(AG20-AG26)/365)/AG19)+0.5*AG32*AG32*(AG20-AG26)/365)/AG32/SQRT((AG20-AG26)/365),0,1,TRUE)-AG19*NORMDIST((LN(AG27*EXP(AG28*(AG20-AG26)/365)/AG19)-0.5*AG32*AG32*(AG20-AG26)/365)/AG32/SQRT((AG20-AG26)/365),0,1,TRUE),IF(AG$25="P",-1*AG27*EXP(AG28*(AG20-AG26)/365)*NORMDIST((-1*LN(AG27*EXP(AG28*(AG20-AG26)/365)/AG19)-0.5*AG32*AG32*(AG20-AG26)/365)/AG32/SQRT((AG20-AG26)/365),0,1,TRUE)+AG19*NORMDIST((-1*LN(AG27*EXP(AG28*(AG20-AG26)/365)/AG19)+0.5*AG32*AG32*(AG20-AG26)/365)/AG32/SQRT((AG20-AG26)/365),0,1,TRUE),0))*EXP(-1*AG29*(AG20-AG26)/365)</f>
        <v>0</v>
      </c>
      <c r="AH52" s="254">
        <f t="shared" ca="1" si="328"/>
        <v>292.92432618680459</v>
      </c>
      <c r="AI52" s="254">
        <f t="shared" ca="1" si="328"/>
        <v>298.74855025218176</v>
      </c>
      <c r="AJ52" s="254">
        <f t="shared" ca="1" si="328"/>
        <v>304.30030737436891</v>
      </c>
      <c r="AK52" s="254">
        <f t="shared" ref="AK52:AL52" ca="1" si="341">IF(AK$25="C",AK27*EXP(AK28*(AK20-AK26)/365)*NORMDIST((LN(AK27*EXP(AK28*(AK20-AK26)/365)/AK19)+0.5*(AK32+1%)*(AK32+1%)*(AK20-AK26)/365)/(AK32+1%)/SQRT((AK20-AK26)/365),0,1,TRUE)-AK19*NORMDIST((LN(AK27*EXP(AK28*(AK20-AK26)/365)/AK19)-0.5*(AK32+1%)*(AK32+1%)*(AK20-AK26)/365)/(AK32+1%)/SQRT((AK20-AK26)/365),0,1,TRUE),IF(AK$25="P",-1*AK27*EXP(AK28*(AK20-AK26)/365)*NORMDIST((-1*LN(AK27*EXP(AK28*(AK20-AK26)/365)/AK19)-0.5*(AK32+1%)*(AK32+1%)*(AK20-AK26)/365)/(AK32+1%)/SQRT((AK20-AK26)/365),0,1,TRUE)+AK19*NORMDIST((-1*LN(AK27*EXP(AK28*(AK20-AK26)/365)/AK19)+0.5*(AK32+1%)*(AK32+1%)*(AK20-AK26)/365)/(AK32+1%)/SQRT((AK20-AK26)/365),0,1,TRUE),0))*EXP(-1*AK29*(AK20-AK26)/365)-IF(AK$25="C",AK27*EXP(AK28*(AK20-AK26)/365)*NORMDIST((LN(AK27*EXP(AK28*(AK20-AK26)/365)/AK19)+0.5*AK32*AK32*(AK20-AK26)/365)/AK32/SQRT((AK20-AK26)/365),0,1,TRUE)-AK19*NORMDIST((LN(AK27*EXP(AK28*(AK20-AK26)/365)/AK19)-0.5*AK32*AK32*(AK20-AK26)/365)/AK32/SQRT((AK20-AK26)/365),0,1,TRUE),IF(AK$25="P",-1*AK27*EXP(AK28*(AK20-AK26)/365)*NORMDIST((-1*LN(AK27*EXP(AK28*(AK20-AK26)/365)/AK19)-0.5*AK32*AK32*(AK20-AK26)/365)/AK32/SQRT((AK20-AK26)/365),0,1,TRUE)+AK19*NORMDIST((-1*LN(AK27*EXP(AK28*(AK20-AK26)/365)/AK19)+0.5*AK32*AK32*(AK20-AK26)/365)/AK32/SQRT((AK20-AK26)/365),0,1,TRUE),0))*EXP(-1*AK29*(AK20-AK26)/365)</f>
        <v>309.48610718671944</v>
      </c>
      <c r="AL52" s="254">
        <f t="shared" ca="1" si="341"/>
        <v>313.63762109880417</v>
      </c>
      <c r="AM52" s="254">
        <f t="shared" ref="AM52:AN52" ca="1" si="342">IF(AM$25="C",AM27*EXP(AM28*(AM20-AM26)/365)*NORMDIST((LN(AM27*EXP(AM28*(AM20-AM26)/365)/AM19)+0.5*(AM32+1%)*(AM32+1%)*(AM20-AM26)/365)/(AM32+1%)/SQRT((AM20-AM26)/365),0,1,TRUE)-AM19*NORMDIST((LN(AM27*EXP(AM28*(AM20-AM26)/365)/AM19)-0.5*(AM32+1%)*(AM32+1%)*(AM20-AM26)/365)/(AM32+1%)/SQRT((AM20-AM26)/365),0,1,TRUE),IF(AM$25="P",-1*AM27*EXP(AM28*(AM20-AM26)/365)*NORMDIST((-1*LN(AM27*EXP(AM28*(AM20-AM26)/365)/AM19)-0.5*(AM32+1%)*(AM32+1%)*(AM20-AM26)/365)/(AM32+1%)/SQRT((AM20-AM26)/365),0,1,TRUE)+AM19*NORMDIST((-1*LN(AM27*EXP(AM28*(AM20-AM26)/365)/AM19)+0.5*(AM32+1%)*(AM32+1%)*(AM20-AM26)/365)/(AM32+1%)/SQRT((AM20-AM26)/365),0,1,TRUE),0))*EXP(-1*AM29*(AM20-AM26)/365)-IF(AM$25="C",AM27*EXP(AM28*(AM20-AM26)/365)*NORMDIST((LN(AM27*EXP(AM28*(AM20-AM26)/365)/AM19)+0.5*AM32*AM32*(AM20-AM26)/365)/AM32/SQRT((AM20-AM26)/365),0,1,TRUE)-AM19*NORMDIST((LN(AM27*EXP(AM28*(AM20-AM26)/365)/AM19)-0.5*AM32*AM32*(AM20-AM26)/365)/AM32/SQRT((AM20-AM26)/365),0,1,TRUE),IF(AM$25="P",-1*AM27*EXP(AM28*(AM20-AM26)/365)*NORMDIST((-1*LN(AM27*EXP(AM28*(AM20-AM26)/365)/AM19)-0.5*AM32*AM32*(AM20-AM26)/365)/AM32/SQRT((AM20-AM26)/365),0,1,TRUE)+AM19*NORMDIST((-1*LN(AM27*EXP(AM28*(AM20-AM26)/365)/AM19)+0.5*AM32*AM32*(AM20-AM26)/365)/AM32/SQRT((AM20-AM26)/365),0,1,TRUE),0))*EXP(-1*AM29*(AM20-AM26)/365)</f>
        <v>316.95487376241817</v>
      </c>
      <c r="AN52" s="254">
        <f t="shared" si="342"/>
        <v>0</v>
      </c>
      <c r="AO52" s="254">
        <f t="shared" ref="AO52" si="343">IF(AO$25="C",AO27*EXP(AO28*(AO20-AO26)/365)*NORMDIST((LN(AO27*EXP(AO28*(AO20-AO26)/365)/AO19)+0.5*(AO32+1%)*(AO32+1%)*(AO20-AO26)/365)/(AO32+1%)/SQRT((AO20-AO26)/365),0,1,TRUE)-AO19*NORMDIST((LN(AO27*EXP(AO28*(AO20-AO26)/365)/AO19)-0.5*(AO32+1%)*(AO32+1%)*(AO20-AO26)/365)/(AO32+1%)/SQRT((AO20-AO26)/365),0,1,TRUE),IF(AO$25="P",-1*AO27*EXP(AO28*(AO20-AO26)/365)*NORMDIST((-1*LN(AO27*EXP(AO28*(AO20-AO26)/365)/AO19)-0.5*(AO32+1%)*(AO32+1%)*(AO20-AO26)/365)/(AO32+1%)/SQRT((AO20-AO26)/365),0,1,TRUE)+AO19*NORMDIST((-1*LN(AO27*EXP(AO28*(AO20-AO26)/365)/AO19)+0.5*(AO32+1%)*(AO32+1%)*(AO20-AO26)/365)/(AO32+1%)/SQRT((AO20-AO26)/365),0,1,TRUE),0))*EXP(-1*AO29*(AO20-AO26)/365)-IF(AO$25="C",AO27*EXP(AO28*(AO20-AO26)/365)*NORMDIST((LN(AO27*EXP(AO28*(AO20-AO26)/365)/AO19)+0.5*AO32*AO32*(AO20-AO26)/365)/AO32/SQRT((AO20-AO26)/365),0,1,TRUE)-AO19*NORMDIST((LN(AO27*EXP(AO28*(AO20-AO26)/365)/AO19)-0.5*AO32*AO32*(AO20-AO26)/365)/AO32/SQRT((AO20-AO26)/365),0,1,TRUE),IF(AO$25="P",-1*AO27*EXP(AO28*(AO20-AO26)/365)*NORMDIST((-1*LN(AO27*EXP(AO28*(AO20-AO26)/365)/AO19)-0.5*AO32*AO32*(AO20-AO26)/365)/AO32/SQRT((AO20-AO26)/365),0,1,TRUE)+AO19*NORMDIST((-1*LN(AO27*EXP(AO28*(AO20-AO26)/365)/AO19)+0.5*AO32*AO32*(AO20-AO26)/365)/AO32/SQRT((AO20-AO26)/365),0,1,TRUE),0))*EXP(-1*AO29*(AO20-AO26)/365)</f>
        <v>0</v>
      </c>
      <c r="AP52" s="254">
        <f t="shared" ref="AP52:AU52" ca="1" si="344">IF(AP$25="C",AP27*EXP(AP28*(AP20-AP26)/365)*NORMDIST((LN(AP27*EXP(AP28*(AP20-AP26)/365)/AP19)+0.5*(AP32+1%)*(AP32+1%)*(AP20-AP26)/365)/(AP32+1%)/SQRT((AP20-AP26)/365),0,1,TRUE)-AP19*NORMDIST((LN(AP27*EXP(AP28*(AP20-AP26)/365)/AP19)-0.5*(AP32+1%)*(AP32+1%)*(AP20-AP26)/365)/(AP32+1%)/SQRT((AP20-AP26)/365),0,1,TRUE),IF(AP$25="P",-1*AP27*EXP(AP28*(AP20-AP26)/365)*NORMDIST((-1*LN(AP27*EXP(AP28*(AP20-AP26)/365)/AP19)-0.5*(AP32+1%)*(AP32+1%)*(AP20-AP26)/365)/(AP32+1%)/SQRT((AP20-AP26)/365),0,1,TRUE)+AP19*NORMDIST((-1*LN(AP27*EXP(AP28*(AP20-AP26)/365)/AP19)+0.5*(AP32+1%)*(AP32+1%)*(AP20-AP26)/365)/(AP32+1%)/SQRT((AP20-AP26)/365),0,1,TRUE),0))*EXP(-1*AP29*(AP20-AP26)/365)-IF(AP$25="C",AP27*EXP(AP28*(AP20-AP26)/365)*NORMDIST((LN(AP27*EXP(AP28*(AP20-AP26)/365)/AP19)+0.5*AP32*AP32*(AP20-AP26)/365)/AP32/SQRT((AP20-AP26)/365),0,1,TRUE)-AP19*NORMDIST((LN(AP27*EXP(AP28*(AP20-AP26)/365)/AP19)-0.5*AP32*AP32*(AP20-AP26)/365)/AP32/SQRT((AP20-AP26)/365),0,1,TRUE),IF(AP$25="P",-1*AP27*EXP(AP28*(AP20-AP26)/365)*NORMDIST((-1*LN(AP27*EXP(AP28*(AP20-AP26)/365)/AP19)-0.5*AP32*AP32*(AP20-AP26)/365)/AP32/SQRT((AP20-AP26)/365),0,1,TRUE)+AP19*NORMDIST((-1*LN(AP27*EXP(AP28*(AP20-AP26)/365)/AP19)+0.5*AP32*AP32*(AP20-AP26)/365)/AP32/SQRT((AP20-AP26)/365),0,1,TRUE),0))*EXP(-1*AP29*(AP20-AP26)/365)</f>
        <v>187.61833718739513</v>
      </c>
      <c r="AQ52" s="254">
        <f t="shared" ca="1" si="344"/>
        <v>194.38767974816869</v>
      </c>
      <c r="AR52" s="254">
        <f t="shared" ca="1" si="344"/>
        <v>201.03091222095736</v>
      </c>
      <c r="AS52" s="254">
        <f t="shared" ca="1" si="344"/>
        <v>207.45551416221838</v>
      </c>
      <c r="AT52" s="254">
        <f t="shared" ca="1" si="344"/>
        <v>212.80496892253041</v>
      </c>
      <c r="AU52" s="254">
        <f t="shared" ca="1" si="344"/>
        <v>217.26134688154252</v>
      </c>
      <c r="AV52" s="254">
        <f t="shared" ref="AV52:AW52" si="345">IF(AV$25="C",AV27*EXP(AV28*(AV20-AV26)/365)*NORMDIST((LN(AV27*EXP(AV28*(AV20-AV26)/365)/AV19)+0.5*(AV32+1%)*(AV32+1%)*(AV20-AV26)/365)/(AV32+1%)/SQRT((AV20-AV26)/365),0,1,TRUE)-AV19*NORMDIST((LN(AV27*EXP(AV28*(AV20-AV26)/365)/AV19)-0.5*(AV32+1%)*(AV32+1%)*(AV20-AV26)/365)/(AV32+1%)/SQRT((AV20-AV26)/365),0,1,TRUE),IF(AV$25="P",-1*AV27*EXP(AV28*(AV20-AV26)/365)*NORMDIST((-1*LN(AV27*EXP(AV28*(AV20-AV26)/365)/AV19)-0.5*(AV32+1%)*(AV32+1%)*(AV20-AV26)/365)/(AV32+1%)/SQRT((AV20-AV26)/365),0,1,TRUE)+AV19*NORMDIST((-1*LN(AV27*EXP(AV28*(AV20-AV26)/365)/AV19)+0.5*(AV32+1%)*(AV32+1%)*(AV20-AV26)/365)/(AV32+1%)/SQRT((AV20-AV26)/365),0,1,TRUE),0))*EXP(-1*AV29*(AV20-AV26)/365)-IF(AV$25="C",AV27*EXP(AV28*(AV20-AV26)/365)*NORMDIST((LN(AV27*EXP(AV28*(AV20-AV26)/365)/AV19)+0.5*AV32*AV32*(AV20-AV26)/365)/AV32/SQRT((AV20-AV26)/365),0,1,TRUE)-AV19*NORMDIST((LN(AV27*EXP(AV28*(AV20-AV26)/365)/AV19)-0.5*AV32*AV32*(AV20-AV26)/365)/AV32/SQRT((AV20-AV26)/365),0,1,TRUE),IF(AV$25="P",-1*AV27*EXP(AV28*(AV20-AV26)/365)*NORMDIST((-1*LN(AV27*EXP(AV28*(AV20-AV26)/365)/AV19)-0.5*AV32*AV32*(AV20-AV26)/365)/AV32/SQRT((AV20-AV26)/365),0,1,TRUE)+AV19*NORMDIST((-1*LN(AV27*EXP(AV28*(AV20-AV26)/365)/AV19)+0.5*AV32*AV32*(AV20-AV26)/365)/AV32/SQRT((AV20-AV26)/365),0,1,TRUE),0))*EXP(-1*AV29*(AV20-AV26)/365)</f>
        <v>0</v>
      </c>
      <c r="AW52" s="254">
        <f t="shared" si="345"/>
        <v>0</v>
      </c>
      <c r="AX52" s="254">
        <f t="shared" ref="AX52:CI52" ca="1" si="346">IF(AX$25="C",AX27*EXP(AX28*(AX20-AX26)/365)*NORMDIST((LN(AX27*EXP(AX28*(AX20-AX26)/365)/AX19)+0.5*(AX32+1%)*(AX32+1%)*(AX20-AX26)/365)/(AX32+1%)/SQRT((AX20-AX26)/365),0,1,TRUE)-AX19*NORMDIST((LN(AX27*EXP(AX28*(AX20-AX26)/365)/AX19)-0.5*(AX32+1%)*(AX32+1%)*(AX20-AX26)/365)/(AX32+1%)/SQRT((AX20-AX26)/365),0,1,TRUE),IF(AX$25="P",-1*AX27*EXP(AX28*(AX20-AX26)/365)*NORMDIST((-1*LN(AX27*EXP(AX28*(AX20-AX26)/365)/AX19)-0.5*(AX32+1%)*(AX32+1%)*(AX20-AX26)/365)/(AX32+1%)/SQRT((AX20-AX26)/365),0,1,TRUE)+AX19*NORMDIST((-1*LN(AX27*EXP(AX28*(AX20-AX26)/365)/AX19)+0.5*(AX32+1%)*(AX32+1%)*(AX20-AX26)/365)/(AX32+1%)/SQRT((AX20-AX26)/365),0,1,TRUE),0))*EXP(-1*AX29*(AX20-AX26)/365)-IF(AX$25="C",AX27*EXP(AX28*(AX20-AX26)/365)*NORMDIST((LN(AX27*EXP(AX28*(AX20-AX26)/365)/AX19)+0.5*AX32*AX32*(AX20-AX26)/365)/AX32/SQRT((AX20-AX26)/365),0,1,TRUE)-AX19*NORMDIST((LN(AX27*EXP(AX28*(AX20-AX26)/365)/AX19)-0.5*AX32*AX32*(AX20-AX26)/365)/AX32/SQRT((AX20-AX26)/365),0,1,TRUE),IF(AX$25="P",-1*AX27*EXP(AX28*(AX20-AX26)/365)*NORMDIST((-1*LN(AX27*EXP(AX28*(AX20-AX26)/365)/AX19)-0.5*AX32*AX32*(AX20-AX26)/365)/AX32/SQRT((AX20-AX26)/365),0,1,TRUE)+AX19*NORMDIST((-1*LN(AX27*EXP(AX28*(AX20-AX26)/365)/AX19)+0.5*AX32*AX32*(AX20-AX26)/365)/AX32/SQRT((AX20-AX26)/365),0,1,TRUE),0))*EXP(-1*AX29*(AX20-AX26)/365)</f>
        <v>522.75835478601584</v>
      </c>
      <c r="AY52" s="254">
        <f t="shared" ca="1" si="346"/>
        <v>549.06257555164666</v>
      </c>
      <c r="AZ52" s="254">
        <f t="shared" ca="1" si="346"/>
        <v>574.59011081403878</v>
      </c>
      <c r="BA52" s="254">
        <f t="shared" ca="1" si="346"/>
        <v>598.86966752444278</v>
      </c>
      <c r="BB52" s="254">
        <f t="shared" ca="1" si="346"/>
        <v>618.65591700526056</v>
      </c>
      <c r="BC52" s="254">
        <f t="shared" ca="1" si="346"/>
        <v>634.7393956937758</v>
      </c>
      <c r="BD52" s="254">
        <f t="shared" ref="BD52:BE52" si="347">IF(BD$25="C",BD27*EXP(BD28*(BD20-BD26)/365)*NORMDIST((LN(BD27*EXP(BD28*(BD20-BD26)/365)/BD19)+0.5*(BD32+1%)*(BD32+1%)*(BD20-BD26)/365)/(BD32+1%)/SQRT((BD20-BD26)/365),0,1,TRUE)-BD19*NORMDIST((LN(BD27*EXP(BD28*(BD20-BD26)/365)/BD19)-0.5*(BD32+1%)*(BD32+1%)*(BD20-BD26)/365)/(BD32+1%)/SQRT((BD20-BD26)/365),0,1,TRUE),IF(BD$25="P",-1*BD27*EXP(BD28*(BD20-BD26)/365)*NORMDIST((-1*LN(BD27*EXP(BD28*(BD20-BD26)/365)/BD19)-0.5*(BD32+1%)*(BD32+1%)*(BD20-BD26)/365)/(BD32+1%)/SQRT((BD20-BD26)/365),0,1,TRUE)+BD19*NORMDIST((-1*LN(BD27*EXP(BD28*(BD20-BD26)/365)/BD19)+0.5*(BD32+1%)*(BD32+1%)*(BD20-BD26)/365)/(BD32+1%)/SQRT((BD20-BD26)/365),0,1,TRUE),0))*EXP(-1*BD29*(BD20-BD26)/365)-IF(BD$25="C",BD27*EXP(BD28*(BD20-BD26)/365)*NORMDIST((LN(BD27*EXP(BD28*(BD20-BD26)/365)/BD19)+0.5*BD32*BD32*(BD20-BD26)/365)/BD32/SQRT((BD20-BD26)/365),0,1,TRUE)-BD19*NORMDIST((LN(BD27*EXP(BD28*(BD20-BD26)/365)/BD19)-0.5*BD32*BD32*(BD20-BD26)/365)/BD32/SQRT((BD20-BD26)/365),0,1,TRUE),IF(BD$25="P",-1*BD27*EXP(BD28*(BD20-BD26)/365)*NORMDIST((-1*LN(BD27*EXP(BD28*(BD20-BD26)/365)/BD19)-0.5*BD32*BD32*(BD20-BD26)/365)/BD32/SQRT((BD20-BD26)/365),0,1,TRUE)+BD19*NORMDIST((-1*LN(BD27*EXP(BD28*(BD20-BD26)/365)/BD19)+0.5*BD32*BD32*(BD20-BD26)/365)/BD32/SQRT((BD20-BD26)/365),0,1,TRUE),0))*EXP(-1*BD29*(BD20-BD26)/365)</f>
        <v>0</v>
      </c>
      <c r="BE52" s="254">
        <f t="shared" si="347"/>
        <v>0</v>
      </c>
      <c r="BF52" s="254">
        <f t="shared" ca="1" si="346"/>
        <v>552.60575255062031</v>
      </c>
      <c r="BG52" s="254">
        <f t="shared" ca="1" si="346"/>
        <v>569.74965895176865</v>
      </c>
      <c r="BH52" s="254">
        <f t="shared" ca="1" si="346"/>
        <v>585.89375590883719</v>
      </c>
      <c r="BI52" s="254">
        <f t="shared" ca="1" si="346"/>
        <v>600.73321054744702</v>
      </c>
      <c r="BJ52" s="254">
        <f t="shared" ca="1" si="346"/>
        <v>612.38257957092355</v>
      </c>
      <c r="BK52" s="254">
        <f t="shared" ca="1" si="346"/>
        <v>621.48872389586722</v>
      </c>
      <c r="BL52" s="254">
        <f t="shared" ref="BL52:BM52" si="348">IF(BL$25="C",BL27*EXP(BL28*(BL20-BL26)/365)*NORMDIST((LN(BL27*EXP(BL28*(BL20-BL26)/365)/BL19)+0.5*(BL32+1%)*(BL32+1%)*(BL20-BL26)/365)/(BL32+1%)/SQRT((BL20-BL26)/365),0,1,TRUE)-BL19*NORMDIST((LN(BL27*EXP(BL28*(BL20-BL26)/365)/BL19)-0.5*(BL32+1%)*(BL32+1%)*(BL20-BL26)/365)/(BL32+1%)/SQRT((BL20-BL26)/365),0,1,TRUE),IF(BL$25="P",-1*BL27*EXP(BL28*(BL20-BL26)/365)*NORMDIST((-1*LN(BL27*EXP(BL28*(BL20-BL26)/365)/BL19)-0.5*(BL32+1%)*(BL32+1%)*(BL20-BL26)/365)/(BL32+1%)/SQRT((BL20-BL26)/365),0,1,TRUE)+BL19*NORMDIST((-1*LN(BL27*EXP(BL28*(BL20-BL26)/365)/BL19)+0.5*(BL32+1%)*(BL32+1%)*(BL20-BL26)/365)/(BL32+1%)/SQRT((BL20-BL26)/365),0,1,TRUE),0))*EXP(-1*BL29*(BL20-BL26)/365)-IF(BL$25="C",BL27*EXP(BL28*(BL20-BL26)/365)*NORMDIST((LN(BL27*EXP(BL28*(BL20-BL26)/365)/BL19)+0.5*BL32*BL32*(BL20-BL26)/365)/BL32/SQRT((BL20-BL26)/365),0,1,TRUE)-BL19*NORMDIST((LN(BL27*EXP(BL28*(BL20-BL26)/365)/BL19)-0.5*BL32*BL32*(BL20-BL26)/365)/BL32/SQRT((BL20-BL26)/365),0,1,TRUE),IF(BL$25="P",-1*BL27*EXP(BL28*(BL20-BL26)/365)*NORMDIST((-1*LN(BL27*EXP(BL28*(BL20-BL26)/365)/BL19)-0.5*BL32*BL32*(BL20-BL26)/365)/BL32/SQRT((BL20-BL26)/365),0,1,TRUE)+BL19*NORMDIST((-1*LN(BL27*EXP(BL28*(BL20-BL26)/365)/BL19)+0.5*BL32*BL32*(BL20-BL26)/365)/BL32/SQRT((BL20-BL26)/365),0,1,TRUE),0))*EXP(-1*BL29*(BL20-BL26)/365)</f>
        <v>0</v>
      </c>
      <c r="BM52" s="254">
        <f t="shared" si="348"/>
        <v>0</v>
      </c>
      <c r="BN52" s="254">
        <f t="shared" ca="1" si="346"/>
        <v>553.11647894373527</v>
      </c>
      <c r="BO52" s="254">
        <f t="shared" ca="1" si="346"/>
        <v>568.57339717629475</v>
      </c>
      <c r="BP52" s="254">
        <f t="shared" ca="1" si="346"/>
        <v>583.04172881093291</v>
      </c>
      <c r="BQ52" s="254">
        <f t="shared" ca="1" si="346"/>
        <v>596.24432943116517</v>
      </c>
      <c r="BR52" s="254">
        <f t="shared" ca="1" si="346"/>
        <v>606.52024420271482</v>
      </c>
      <c r="BS52" s="254">
        <f t="shared" ca="1" si="346"/>
        <v>614.47569178967024</v>
      </c>
      <c r="BT52" s="254">
        <f t="shared" ref="BT52:BU52" si="349">IF(BT$25="C",BT27*EXP(BT28*(BT20-BT26)/365)*NORMDIST((LN(BT27*EXP(BT28*(BT20-BT26)/365)/BT19)+0.5*(BT32+1%)*(BT32+1%)*(BT20-BT26)/365)/(BT32+1%)/SQRT((BT20-BT26)/365),0,1,TRUE)-BT19*NORMDIST((LN(BT27*EXP(BT28*(BT20-BT26)/365)/BT19)-0.5*(BT32+1%)*(BT32+1%)*(BT20-BT26)/365)/(BT32+1%)/SQRT((BT20-BT26)/365),0,1,TRUE),IF(BT$25="P",-1*BT27*EXP(BT28*(BT20-BT26)/365)*NORMDIST((-1*LN(BT27*EXP(BT28*(BT20-BT26)/365)/BT19)-0.5*(BT32+1%)*(BT32+1%)*(BT20-BT26)/365)/(BT32+1%)/SQRT((BT20-BT26)/365),0,1,TRUE)+BT19*NORMDIST((-1*LN(BT27*EXP(BT28*(BT20-BT26)/365)/BT19)+0.5*(BT32+1%)*(BT32+1%)*(BT20-BT26)/365)/(BT32+1%)/SQRT((BT20-BT26)/365),0,1,TRUE),0))*EXP(-1*BT29*(BT20-BT26)/365)-IF(BT$25="C",BT27*EXP(BT28*(BT20-BT26)/365)*NORMDIST((LN(BT27*EXP(BT28*(BT20-BT26)/365)/BT19)+0.5*BT32*BT32*(BT20-BT26)/365)/BT32/SQRT((BT20-BT26)/365),0,1,TRUE)-BT19*NORMDIST((LN(BT27*EXP(BT28*(BT20-BT26)/365)/BT19)-0.5*BT32*BT32*(BT20-BT26)/365)/BT32/SQRT((BT20-BT26)/365),0,1,TRUE),IF(BT$25="P",-1*BT27*EXP(BT28*(BT20-BT26)/365)*NORMDIST((-1*LN(BT27*EXP(BT28*(BT20-BT26)/365)/BT19)-0.5*BT32*BT32*(BT20-BT26)/365)/BT32/SQRT((BT20-BT26)/365),0,1,TRUE)+BT19*NORMDIST((-1*LN(BT27*EXP(BT28*(BT20-BT26)/365)/BT19)+0.5*BT32*BT32*(BT20-BT26)/365)/BT32/SQRT((BT20-BT26)/365),0,1,TRUE),0))*EXP(-1*BT29*(BT20-BT26)/365)</f>
        <v>0</v>
      </c>
      <c r="BU52" s="254">
        <f t="shared" si="349"/>
        <v>0</v>
      </c>
      <c r="BV52" s="254">
        <f t="shared" ca="1" si="346"/>
        <v>301.14946780321179</v>
      </c>
      <c r="BW52" s="254">
        <f t="shared" ca="1" si="346"/>
        <v>306.88243898880364</v>
      </c>
      <c r="BX52" s="254">
        <f t="shared" ca="1" si="346"/>
        <v>312.33356247542133</v>
      </c>
      <c r="BY52" s="254">
        <f t="shared" ca="1" si="346"/>
        <v>317.40907305210794</v>
      </c>
      <c r="BZ52" s="254">
        <f t="shared" ca="1" si="346"/>
        <v>321.45654511357088</v>
      </c>
      <c r="CA52" s="254">
        <f t="shared" ca="1" si="346"/>
        <v>324.67649131038661</v>
      </c>
      <c r="CB52" s="254">
        <f t="shared" ref="CB52:CC52" si="350">IF(CB$25="C",CB27*EXP(CB28*(CB20-CB26)/365)*NORMDIST((LN(CB27*EXP(CB28*(CB20-CB26)/365)/CB19)+0.5*(CB32+1%)*(CB32+1%)*(CB20-CB26)/365)/(CB32+1%)/SQRT((CB20-CB26)/365),0,1,TRUE)-CB19*NORMDIST((LN(CB27*EXP(CB28*(CB20-CB26)/365)/CB19)-0.5*(CB32+1%)*(CB32+1%)*(CB20-CB26)/365)/(CB32+1%)/SQRT((CB20-CB26)/365),0,1,TRUE),IF(CB$25="P",-1*CB27*EXP(CB28*(CB20-CB26)/365)*NORMDIST((-1*LN(CB27*EXP(CB28*(CB20-CB26)/365)/CB19)-0.5*(CB32+1%)*(CB32+1%)*(CB20-CB26)/365)/(CB32+1%)/SQRT((CB20-CB26)/365),0,1,TRUE)+CB19*NORMDIST((-1*LN(CB27*EXP(CB28*(CB20-CB26)/365)/CB19)+0.5*(CB32+1%)*(CB32+1%)*(CB20-CB26)/365)/(CB32+1%)/SQRT((CB20-CB26)/365),0,1,TRUE),0))*EXP(-1*CB29*(CB20-CB26)/365)-IF(CB$25="C",CB27*EXP(CB28*(CB20-CB26)/365)*NORMDIST((LN(CB27*EXP(CB28*(CB20-CB26)/365)/CB19)+0.5*CB32*CB32*(CB20-CB26)/365)/CB32/SQRT((CB20-CB26)/365),0,1,TRUE)-CB19*NORMDIST((LN(CB27*EXP(CB28*(CB20-CB26)/365)/CB19)-0.5*CB32*CB32*(CB20-CB26)/365)/CB32/SQRT((CB20-CB26)/365),0,1,TRUE),IF(CB$25="P",-1*CB27*EXP(CB28*(CB20-CB26)/365)*NORMDIST((-1*LN(CB27*EXP(CB28*(CB20-CB26)/365)/CB19)-0.5*CB32*CB32*(CB20-CB26)/365)/CB32/SQRT((CB20-CB26)/365),0,1,TRUE)+CB19*NORMDIST((-1*LN(CB27*EXP(CB28*(CB20-CB26)/365)/CB19)+0.5*CB32*CB32*(CB20-CB26)/365)/CB32/SQRT((CB20-CB26)/365),0,1,TRUE),0))*EXP(-1*CB29*(CB20-CB26)/365)</f>
        <v>0</v>
      </c>
      <c r="CC52" s="254">
        <f t="shared" si="350"/>
        <v>0</v>
      </c>
      <c r="CD52" s="254">
        <f t="shared" ca="1" si="346"/>
        <v>292.92432618680459</v>
      </c>
      <c r="CE52" s="254">
        <f t="shared" ca="1" si="346"/>
        <v>298.74855025218176</v>
      </c>
      <c r="CF52" s="254">
        <f t="shared" ca="1" si="346"/>
        <v>304.30030737436891</v>
      </c>
      <c r="CG52" s="254">
        <f t="shared" ca="1" si="346"/>
        <v>309.48610718671944</v>
      </c>
      <c r="CH52" s="254">
        <f t="shared" ca="1" si="346"/>
        <v>313.63762109880417</v>
      </c>
      <c r="CI52" s="254">
        <f t="shared" ca="1" si="346"/>
        <v>316.95487376241817</v>
      </c>
      <c r="CJ52" s="254">
        <f t="shared" ref="CJ52:CK52" si="351">IF(CJ$25="C",CJ27*EXP(CJ28*(CJ20-CJ26)/365)*NORMDIST((LN(CJ27*EXP(CJ28*(CJ20-CJ26)/365)/CJ19)+0.5*(CJ32+1%)*(CJ32+1%)*(CJ20-CJ26)/365)/(CJ32+1%)/SQRT((CJ20-CJ26)/365),0,1,TRUE)-CJ19*NORMDIST((LN(CJ27*EXP(CJ28*(CJ20-CJ26)/365)/CJ19)-0.5*(CJ32+1%)*(CJ32+1%)*(CJ20-CJ26)/365)/(CJ32+1%)/SQRT((CJ20-CJ26)/365),0,1,TRUE),IF(CJ$25="P",-1*CJ27*EXP(CJ28*(CJ20-CJ26)/365)*NORMDIST((-1*LN(CJ27*EXP(CJ28*(CJ20-CJ26)/365)/CJ19)-0.5*(CJ32+1%)*(CJ32+1%)*(CJ20-CJ26)/365)/(CJ32+1%)/SQRT((CJ20-CJ26)/365),0,1,TRUE)+CJ19*NORMDIST((-1*LN(CJ27*EXP(CJ28*(CJ20-CJ26)/365)/CJ19)+0.5*(CJ32+1%)*(CJ32+1%)*(CJ20-CJ26)/365)/(CJ32+1%)/SQRT((CJ20-CJ26)/365),0,1,TRUE),0))*EXP(-1*CJ29*(CJ20-CJ26)/365)-IF(CJ$25="C",CJ27*EXP(CJ28*(CJ20-CJ26)/365)*NORMDIST((LN(CJ27*EXP(CJ28*(CJ20-CJ26)/365)/CJ19)+0.5*CJ32*CJ32*(CJ20-CJ26)/365)/CJ32/SQRT((CJ20-CJ26)/365),0,1,TRUE)-CJ19*NORMDIST((LN(CJ27*EXP(CJ28*(CJ20-CJ26)/365)/CJ19)-0.5*CJ32*CJ32*(CJ20-CJ26)/365)/CJ32/SQRT((CJ20-CJ26)/365),0,1,TRUE),IF(CJ$25="P",-1*CJ27*EXP(CJ28*(CJ20-CJ26)/365)*NORMDIST((-1*LN(CJ27*EXP(CJ28*(CJ20-CJ26)/365)/CJ19)-0.5*CJ32*CJ32*(CJ20-CJ26)/365)/CJ32/SQRT((CJ20-CJ26)/365),0,1,TRUE)+CJ19*NORMDIST((-1*LN(CJ27*EXP(CJ28*(CJ20-CJ26)/365)/CJ19)+0.5*CJ32*CJ32*(CJ20-CJ26)/365)/CJ32/SQRT((CJ20-CJ26)/365),0,1,TRUE),0))*EXP(-1*CJ29*(CJ20-CJ26)/365)</f>
        <v>0</v>
      </c>
      <c r="CK52" s="254">
        <f t="shared" si="351"/>
        <v>0</v>
      </c>
      <c r="CL52" s="254">
        <f t="shared" ref="CL52:CQ52" ca="1" si="352">IF(CL$25="C",CL27*EXP(CL28*(CL20-CL26)/365)*NORMDIST((LN(CL27*EXP(CL28*(CL20-CL26)/365)/CL19)+0.5*(CL32+1%)*(CL32+1%)*(CL20-CL26)/365)/(CL32+1%)/SQRT((CL20-CL26)/365),0,1,TRUE)-CL19*NORMDIST((LN(CL27*EXP(CL28*(CL20-CL26)/365)/CL19)-0.5*(CL32+1%)*(CL32+1%)*(CL20-CL26)/365)/(CL32+1%)/SQRT((CL20-CL26)/365),0,1,TRUE),IF(CL$25="P",-1*CL27*EXP(CL28*(CL20-CL26)/365)*NORMDIST((-1*LN(CL27*EXP(CL28*(CL20-CL26)/365)/CL19)-0.5*(CL32+1%)*(CL32+1%)*(CL20-CL26)/365)/(CL32+1%)/SQRT((CL20-CL26)/365),0,1,TRUE)+CL19*NORMDIST((-1*LN(CL27*EXP(CL28*(CL20-CL26)/365)/CL19)+0.5*(CL32+1%)*(CL32+1%)*(CL20-CL26)/365)/(CL32+1%)/SQRT((CL20-CL26)/365),0,1,TRUE),0))*EXP(-1*CL29*(CL20-CL26)/365)-IF(CL$25="C",CL27*EXP(CL28*(CL20-CL26)/365)*NORMDIST((LN(CL27*EXP(CL28*(CL20-CL26)/365)/CL19)+0.5*CL32*CL32*(CL20-CL26)/365)/CL32/SQRT((CL20-CL26)/365),0,1,TRUE)-CL19*NORMDIST((LN(CL27*EXP(CL28*(CL20-CL26)/365)/CL19)-0.5*CL32*CL32*(CL20-CL26)/365)/CL32/SQRT((CL20-CL26)/365),0,1,TRUE),IF(CL$25="P",-1*CL27*EXP(CL28*(CL20-CL26)/365)*NORMDIST((-1*LN(CL27*EXP(CL28*(CL20-CL26)/365)/CL19)-0.5*CL32*CL32*(CL20-CL26)/365)/CL32/SQRT((CL20-CL26)/365),0,1,TRUE)+CL19*NORMDIST((-1*LN(CL27*EXP(CL28*(CL20-CL26)/365)/CL19)+0.5*CL32*CL32*(CL20-CL26)/365)/CL32/SQRT((CL20-CL26)/365),0,1,TRUE),0))*EXP(-1*CL29*(CL20-CL26)/365)</f>
        <v>187.61833718739513</v>
      </c>
      <c r="CM52" s="254">
        <f t="shared" ca="1" si="352"/>
        <v>194.38767974816869</v>
      </c>
      <c r="CN52" s="254">
        <f t="shared" ca="1" si="352"/>
        <v>201.03091222095736</v>
      </c>
      <c r="CO52" s="254">
        <f t="shared" ca="1" si="352"/>
        <v>207.45551416221838</v>
      </c>
      <c r="CP52" s="254">
        <f t="shared" ca="1" si="352"/>
        <v>212.80496892253041</v>
      </c>
      <c r="CQ52" s="254">
        <f t="shared" ca="1" si="352"/>
        <v>217.26134688154252</v>
      </c>
      <c r="CR52" s="254">
        <f t="shared" ref="CR52:CS52" si="353">IF(CR$25="C",CR27*EXP(CR28*(CR20-CR26)/365)*NORMDIST((LN(CR27*EXP(CR28*(CR20-CR26)/365)/CR19)+0.5*(CR32+1%)*(CR32+1%)*(CR20-CR26)/365)/(CR32+1%)/SQRT((CR20-CR26)/365),0,1,TRUE)-CR19*NORMDIST((LN(CR27*EXP(CR28*(CR20-CR26)/365)/CR19)-0.5*(CR32+1%)*(CR32+1%)*(CR20-CR26)/365)/(CR32+1%)/SQRT((CR20-CR26)/365),0,1,TRUE),IF(CR$25="P",-1*CR27*EXP(CR28*(CR20-CR26)/365)*NORMDIST((-1*LN(CR27*EXP(CR28*(CR20-CR26)/365)/CR19)-0.5*(CR32+1%)*(CR32+1%)*(CR20-CR26)/365)/(CR32+1%)/SQRT((CR20-CR26)/365),0,1,TRUE)+CR19*NORMDIST((-1*LN(CR27*EXP(CR28*(CR20-CR26)/365)/CR19)+0.5*(CR32+1%)*(CR32+1%)*(CR20-CR26)/365)/(CR32+1%)/SQRT((CR20-CR26)/365),0,1,TRUE),0))*EXP(-1*CR29*(CR20-CR26)/365)-IF(CR$25="C",CR27*EXP(CR28*(CR20-CR26)/365)*NORMDIST((LN(CR27*EXP(CR28*(CR20-CR26)/365)/CR19)+0.5*CR32*CR32*(CR20-CR26)/365)/CR32/SQRT((CR20-CR26)/365),0,1,TRUE)-CR19*NORMDIST((LN(CR27*EXP(CR28*(CR20-CR26)/365)/CR19)-0.5*CR32*CR32*(CR20-CR26)/365)/CR32/SQRT((CR20-CR26)/365),0,1,TRUE),IF(CR$25="P",-1*CR27*EXP(CR28*(CR20-CR26)/365)*NORMDIST((-1*LN(CR27*EXP(CR28*(CR20-CR26)/365)/CR19)-0.5*CR32*CR32*(CR20-CR26)/365)/CR32/SQRT((CR20-CR26)/365),0,1,TRUE)+CR19*NORMDIST((-1*LN(CR27*EXP(CR28*(CR20-CR26)/365)/CR19)+0.5*CR32*CR32*(CR20-CR26)/365)/CR32/SQRT((CR20-CR26)/365),0,1,TRUE),0))*EXP(-1*CR29*(CR20-CR26)/365)</f>
        <v>0</v>
      </c>
      <c r="CS52" s="254">
        <f t="shared" si="353"/>
        <v>0</v>
      </c>
    </row>
    <row r="53" spans="1:97">
      <c r="A53" t="s">
        <v>10</v>
      </c>
      <c r="B53" s="254">
        <f t="shared" ref="B53:AJ53" ca="1" si="354">IF(B$25="C",B27*EXP((B28+1%)*(B20-B26)/365)*NORMDIST((LN(B27*EXP((B28+1%)*(B20-B26)/365)/B19)+0.5*B32*B32*(B20-B26)/365)/B32/SQRT((B20-B26)/365),0,1,TRUE)-B19*NORMDIST((LN(B27*EXP((B28+1%)*(B20-B26)/365)/B19)-0.5*B32*B32*(B20-B26)/365)/B32/SQRT((B20-B26)/365),0,1,TRUE),IF(B$25="P",-1*B27*EXP((B28+1%)*(B20-B26)/365)*NORMDIST((-1*LN(B27*EXP((B28+1%)*(B20-B26)/365)/B19)-0.5*B32*B32*(B20-B26)/365)/B32/SQRT((B20-B26)/365),0,1,TRUE)+B19*NORMDIST((-1*LN(B27*EXP((B28+1%)*(B20-B26)/365)/B19)+0.5*B32*B32*(B20-B26)/365)/B32/SQRT((B20-B26)/365),0,1,TRUE),0))*EXP(-1*(B29+1%)*(B20-B26)/365)-IF(B$25="C",B27*EXP(B28*(B20-B26)/365)*NORMDIST((LN(B27*EXP(B28*(B20-B26)/365)/B19)+0.5*B32*B32*(B20-B26)/365)/B32/SQRT((B20-B26)/365),0,1,TRUE)-B19*NORMDIST((LN(B27*EXP(B28*(B20-B26)/365)/B19)-0.5*B32*B32*(B20-B26)/365)/B32/SQRT((B20-B26)/365),0,1,TRUE),IF(B$25="P",-1*B27*EXP(B28*(B20-B26)/365)*NORMDIST((-1*LN(B27*EXP(B28*(B20-B26)/365)/B19)-0.5*B32*B32*(B20-B26)/365)/B32/SQRT((B20-B26)/365),0,1,TRUE)+B19*NORMDIST((-1*LN(B27*EXP(B28*(B20-B26)/365)/B19)+0.5*B32*B32*(B20-B26)/365)/B32/SQRT((B20-B26)/365),0,1,TRUE),0))*EXP(-1*B29*(B20-B26)/365)</f>
        <v>-2059.5026525844241</v>
      </c>
      <c r="C53" s="254">
        <f t="shared" ca="1" si="354"/>
        <v>-2096.9913904731238</v>
      </c>
      <c r="D53" s="254">
        <f t="shared" ca="1" si="354"/>
        <v>-2130.0623848193663</v>
      </c>
      <c r="E53" s="254">
        <f t="shared" ref="E53:F53" ca="1" si="355">IF(E$25="C",E27*EXP((E28+1%)*(E20-E26)/365)*NORMDIST((LN(E27*EXP((E28+1%)*(E20-E26)/365)/E19)+0.5*E32*E32*(E20-E26)/365)/E32/SQRT((E20-E26)/365),0,1,TRUE)-E19*NORMDIST((LN(E27*EXP((E28+1%)*(E20-E26)/365)/E19)-0.5*E32*E32*(E20-E26)/365)/E32/SQRT((E20-E26)/365),0,1,TRUE),IF(E$25="P",-1*E27*EXP((E28+1%)*(E20-E26)/365)*NORMDIST((-1*LN(E27*EXP((E28+1%)*(E20-E26)/365)/E19)-0.5*E32*E32*(E20-E26)/365)/E32/SQRT((E20-E26)/365),0,1,TRUE)+E19*NORMDIST((-1*LN(E27*EXP((E28+1%)*(E20-E26)/365)/E19)+0.5*E32*E32*(E20-E26)/365)/E32/SQRT((E20-E26)/365),0,1,TRUE),0))*EXP(-1*(E29+1%)*(E20-E26)/365)-IF(E$25="C",E27*EXP(E28*(E20-E26)/365)*NORMDIST((LN(E27*EXP(E28*(E20-E26)/365)/E19)+0.5*E32*E32*(E20-E26)/365)/E32/SQRT((E20-E26)/365),0,1,TRUE)-E19*NORMDIST((LN(E27*EXP(E28*(E20-E26)/365)/E19)-0.5*E32*E32*(E20-E26)/365)/E32/SQRT((E20-E26)/365),0,1,TRUE),IF(E$25="P",-1*E27*EXP(E28*(E20-E26)/365)*NORMDIST((-1*LN(E27*EXP(E28*(E20-E26)/365)/E19)-0.5*E32*E32*(E20-E26)/365)/E32/SQRT((E20-E26)/365),0,1,TRUE)+E19*NORMDIST((-1*LN(E27*EXP(E28*(E20-E26)/365)/E19)+0.5*E32*E32*(E20-E26)/365)/E32/SQRT((E20-E26)/365),0,1,TRUE),0))*EXP(-1*E29*(E20-E26)/365)</f>
        <v>-2157.7932271464088</v>
      </c>
      <c r="F53" s="254">
        <f t="shared" ca="1" si="355"/>
        <v>-2176.9755304178416</v>
      </c>
      <c r="G53" s="254">
        <f t="shared" ref="G53:H53" ca="1" si="356">IF(G$25="C",G27*EXP((G28+1%)*(G20-G26)/365)*NORMDIST((LN(G27*EXP((G28+1%)*(G20-G26)/365)/G19)+0.5*G32*G32*(G20-G26)/365)/G32/SQRT((G20-G26)/365),0,1,TRUE)-G19*NORMDIST((LN(G27*EXP((G28+1%)*(G20-G26)/365)/G19)-0.5*G32*G32*(G20-G26)/365)/G32/SQRT((G20-G26)/365),0,1,TRUE),IF(G$25="P",-1*G27*EXP((G28+1%)*(G20-G26)/365)*NORMDIST((-1*LN(G27*EXP((G28+1%)*(G20-G26)/365)/G19)-0.5*G32*G32*(G20-G26)/365)/G32/SQRT((G20-G26)/365),0,1,TRUE)+G19*NORMDIST((-1*LN(G27*EXP((G28+1%)*(G20-G26)/365)/G19)+0.5*G32*G32*(G20-G26)/365)/G32/SQRT((G20-G26)/365),0,1,TRUE),0))*EXP(-1*(G29+1%)*(G20-G26)/365)-IF(G$25="C",G27*EXP(G28*(G20-G26)/365)*NORMDIST((LN(G27*EXP(G28*(G20-G26)/365)/G19)+0.5*G32*G32*(G20-G26)/365)/G32/SQRT((G20-G26)/365),0,1,TRUE)-G19*NORMDIST((LN(G27*EXP(G28*(G20-G26)/365)/G19)-0.5*G32*G32*(G20-G26)/365)/G32/SQRT((G20-G26)/365),0,1,TRUE),IF(G$25="P",-1*G27*EXP(G28*(G20-G26)/365)*NORMDIST((-1*LN(G27*EXP(G28*(G20-G26)/365)/G19)-0.5*G32*G32*(G20-G26)/365)/G32/SQRT((G20-G26)/365),0,1,TRUE)+G19*NORMDIST((-1*LN(G27*EXP(G28*(G20-G26)/365)/G19)+0.5*G32*G32*(G20-G26)/365)/G32/SQRT((G20-G26)/365),0,1,TRUE),0))*EXP(-1*G29*(G20-G26)/365)</f>
        <v>-2189.6296040185134</v>
      </c>
      <c r="H53" s="254">
        <f t="shared" si="356"/>
        <v>0</v>
      </c>
      <c r="I53" s="254">
        <f t="shared" ref="I53" si="357">IF(I$25="C",I27*EXP((I28+1%)*(I20-I26)/365)*NORMDIST((LN(I27*EXP((I28+1%)*(I20-I26)/365)/I19)+0.5*I32*I32*(I20-I26)/365)/I32/SQRT((I20-I26)/365),0,1,TRUE)-I19*NORMDIST((LN(I27*EXP((I28+1%)*(I20-I26)/365)/I19)-0.5*I32*I32*(I20-I26)/365)/I32/SQRT((I20-I26)/365),0,1,TRUE),IF(I$25="P",-1*I27*EXP((I28+1%)*(I20-I26)/365)*NORMDIST((-1*LN(I27*EXP((I28+1%)*(I20-I26)/365)/I19)-0.5*I32*I32*(I20-I26)/365)/I32/SQRT((I20-I26)/365),0,1,TRUE)+I19*NORMDIST((-1*LN(I27*EXP((I28+1%)*(I20-I26)/365)/I19)+0.5*I32*I32*(I20-I26)/365)/I32/SQRT((I20-I26)/365),0,1,TRUE),0))*EXP(-1*(I29+1%)*(I20-I26)/365)-IF(I$25="C",I27*EXP(I28*(I20-I26)/365)*NORMDIST((LN(I27*EXP(I28*(I20-I26)/365)/I19)+0.5*I32*I32*(I20-I26)/365)/I32/SQRT((I20-I26)/365),0,1,TRUE)-I19*NORMDIST((LN(I27*EXP(I28*(I20-I26)/365)/I19)-0.5*I32*I32*(I20-I26)/365)/I32/SQRT((I20-I26)/365),0,1,TRUE),IF(I$25="P",-1*I27*EXP(I28*(I20-I26)/365)*NORMDIST((-1*LN(I27*EXP(I28*(I20-I26)/365)/I19)-0.5*I32*I32*(I20-I26)/365)/I32/SQRT((I20-I26)/365),0,1,TRUE)+I19*NORMDIST((-1*LN(I27*EXP(I28*(I20-I26)/365)/I19)+0.5*I32*I32*(I20-I26)/365)/I32/SQRT((I20-I26)/365),0,1,TRUE),0))*EXP(-1*I29*(I20-I26)/365)</f>
        <v>0</v>
      </c>
      <c r="J53" s="254">
        <f t="shared" ca="1" si="354"/>
        <v>-1627.1953610291966</v>
      </c>
      <c r="K53" s="254">
        <f t="shared" ca="1" si="354"/>
        <v>-1654.0493060878853</v>
      </c>
      <c r="L53" s="254">
        <f t="shared" ca="1" si="354"/>
        <v>-1677.8964162597686</v>
      </c>
      <c r="M53" s="254">
        <f t="shared" ref="M53:N53" ca="1" si="358">IF(M$25="C",M27*EXP((M28+1%)*(M20-M26)/365)*NORMDIST((LN(M27*EXP((M28+1%)*(M20-M26)/365)/M19)+0.5*M32*M32*(M20-M26)/365)/M32/SQRT((M20-M26)/365),0,1,TRUE)-M19*NORMDIST((LN(M27*EXP((M28+1%)*(M20-M26)/365)/M19)-0.5*M32*M32*(M20-M26)/365)/M32/SQRT((M20-M26)/365),0,1,TRUE),IF(M$25="P",-1*M27*EXP((M28+1%)*(M20-M26)/365)*NORMDIST((-1*LN(M27*EXP((M28+1%)*(M20-M26)/365)/M19)-0.5*M32*M32*(M20-M26)/365)/M32/SQRT((M20-M26)/365),0,1,TRUE)+M19*NORMDIST((-1*LN(M27*EXP((M28+1%)*(M20-M26)/365)/M19)+0.5*M32*M32*(M20-M26)/365)/M32/SQRT((M20-M26)/365),0,1,TRUE),0))*EXP(-1*(M29+1%)*(M20-M26)/365)-IF(M$25="C",M27*EXP(M28*(M20-M26)/365)*NORMDIST((LN(M27*EXP(M28*(M20-M26)/365)/M19)+0.5*M32*M32*(M20-M26)/365)/M32/SQRT((M20-M26)/365),0,1,TRUE)-M19*NORMDIST((LN(M27*EXP(M28*(M20-M26)/365)/M19)-0.5*M32*M32*(M20-M26)/365)/M32/SQRT((M20-M26)/365),0,1,TRUE),IF(M$25="P",-1*M27*EXP(M28*(M20-M26)/365)*NORMDIST((-1*LN(M27*EXP(M28*(M20-M26)/365)/M19)-0.5*M32*M32*(M20-M26)/365)/M32/SQRT((M20-M26)/365),0,1,TRUE)+M19*NORMDIST((-1*LN(M27*EXP(M28*(M20-M26)/365)/M19)+0.5*M32*M32*(M20-M26)/365)/M32/SQRT((M20-M26)/365),0,1,TRUE),0))*EXP(-1*M29*(M20-M26)/365)</f>
        <v>-1698.0880213291648</v>
      </c>
      <c r="N53" s="254">
        <f t="shared" ca="1" si="358"/>
        <v>-1712.2531465434986</v>
      </c>
      <c r="O53" s="254">
        <f t="shared" ref="O53:P53" ca="1" si="359">IF(O$25="C",O27*EXP((O28+1%)*(O20-O26)/365)*NORMDIST((LN(O27*EXP((O28+1%)*(O20-O26)/365)/O19)+0.5*O32*O32*(O20-O26)/365)/O32/SQRT((O20-O26)/365),0,1,TRUE)-O19*NORMDIST((LN(O27*EXP((O28+1%)*(O20-O26)/365)/O19)-0.5*O32*O32*(O20-O26)/365)/O32/SQRT((O20-O26)/365),0,1,TRUE),IF(O$25="P",-1*O27*EXP((O28+1%)*(O20-O26)/365)*NORMDIST((-1*LN(O27*EXP((O28+1%)*(O20-O26)/365)/O19)-0.5*O32*O32*(O20-O26)/365)/O32/SQRT((O20-O26)/365),0,1,TRUE)+O19*NORMDIST((-1*LN(O27*EXP((O28+1%)*(O20-O26)/365)/O19)+0.5*O32*O32*(O20-O26)/365)/O32/SQRT((O20-O26)/365),0,1,TRUE),0))*EXP(-1*(O29+1%)*(O20-O26)/365)-IF(O$25="C",O27*EXP(O28*(O20-O26)/365)*NORMDIST((LN(O27*EXP(O28*(O20-O26)/365)/O19)+0.5*O32*O32*(O20-O26)/365)/O32/SQRT((O20-O26)/365),0,1,TRUE)-O19*NORMDIST((LN(O27*EXP(O28*(O20-O26)/365)/O19)-0.5*O32*O32*(O20-O26)/365)/O32/SQRT((O20-O26)/365),0,1,TRUE),IF(O$25="P",-1*O27*EXP(O28*(O20-O26)/365)*NORMDIST((-1*LN(O27*EXP(O28*(O20-O26)/365)/O19)-0.5*O32*O32*(O20-O26)/365)/O32/SQRT((O20-O26)/365),0,1,TRUE)+O19*NORMDIST((-1*LN(O27*EXP(O28*(O20-O26)/365)/O19)+0.5*O32*O32*(O20-O26)/365)/O32/SQRT((O20-O26)/365),0,1,TRUE),0))*EXP(-1*O29*(O20-O26)/365)</f>
        <v>-1721.790856959853</v>
      </c>
      <c r="P53" s="254">
        <f t="shared" si="359"/>
        <v>0</v>
      </c>
      <c r="Q53" s="254">
        <f t="shared" ref="Q53" si="360">IF(Q$25="C",Q27*EXP((Q28+1%)*(Q20-Q26)/365)*NORMDIST((LN(Q27*EXP((Q28+1%)*(Q20-Q26)/365)/Q19)+0.5*Q32*Q32*(Q20-Q26)/365)/Q32/SQRT((Q20-Q26)/365),0,1,TRUE)-Q19*NORMDIST((LN(Q27*EXP((Q28+1%)*(Q20-Q26)/365)/Q19)-0.5*Q32*Q32*(Q20-Q26)/365)/Q32/SQRT((Q20-Q26)/365),0,1,TRUE),IF(Q$25="P",-1*Q27*EXP((Q28+1%)*(Q20-Q26)/365)*NORMDIST((-1*LN(Q27*EXP((Q28+1%)*(Q20-Q26)/365)/Q19)-0.5*Q32*Q32*(Q20-Q26)/365)/Q32/SQRT((Q20-Q26)/365),0,1,TRUE)+Q19*NORMDIST((-1*LN(Q27*EXP((Q28+1%)*(Q20-Q26)/365)/Q19)+0.5*Q32*Q32*(Q20-Q26)/365)/Q32/SQRT((Q20-Q26)/365),0,1,TRUE),0))*EXP(-1*(Q29+1%)*(Q20-Q26)/365)-IF(Q$25="C",Q27*EXP(Q28*(Q20-Q26)/365)*NORMDIST((LN(Q27*EXP(Q28*(Q20-Q26)/365)/Q19)+0.5*Q32*Q32*(Q20-Q26)/365)/Q32/SQRT((Q20-Q26)/365),0,1,TRUE)-Q19*NORMDIST((LN(Q27*EXP(Q28*(Q20-Q26)/365)/Q19)-0.5*Q32*Q32*(Q20-Q26)/365)/Q32/SQRT((Q20-Q26)/365),0,1,TRUE),IF(Q$25="P",-1*Q27*EXP(Q28*(Q20-Q26)/365)*NORMDIST((-1*LN(Q27*EXP(Q28*(Q20-Q26)/365)/Q19)-0.5*Q32*Q32*(Q20-Q26)/365)/Q32/SQRT((Q20-Q26)/365),0,1,TRUE)+Q19*NORMDIST((-1*LN(Q27*EXP(Q28*(Q20-Q26)/365)/Q19)+0.5*Q32*Q32*(Q20-Q26)/365)/Q32/SQRT((Q20-Q26)/365),0,1,TRUE),0))*EXP(-1*Q29*(Q20-Q26)/365)</f>
        <v>0</v>
      </c>
      <c r="R53" s="254">
        <f t="shared" ca="1" si="354"/>
        <v>-1543.1524967998375</v>
      </c>
      <c r="S53" s="254">
        <f t="shared" ca="1" si="354"/>
        <v>-1568.6707993840209</v>
      </c>
      <c r="T53" s="254">
        <f t="shared" ca="1" si="354"/>
        <v>-1591.453020212648</v>
      </c>
      <c r="U53" s="254">
        <f t="shared" ref="U53:V53" ca="1" si="361">IF(U$25="C",U27*EXP((U28+1%)*(U20-U26)/365)*NORMDIST((LN(U27*EXP((U28+1%)*(U20-U26)/365)/U19)+0.5*U32*U32*(U20-U26)/365)/U32/SQRT((U20-U26)/365),0,1,TRUE)-U19*NORMDIST((LN(U27*EXP((U28+1%)*(U20-U26)/365)/U19)-0.5*U32*U32*(U20-U26)/365)/U32/SQRT((U20-U26)/365),0,1,TRUE),IF(U$25="P",-1*U27*EXP((U28+1%)*(U20-U26)/365)*NORMDIST((-1*LN(U27*EXP((U28+1%)*(U20-U26)/365)/U19)-0.5*U32*U32*(U20-U26)/365)/U32/SQRT((U20-U26)/365),0,1,TRUE)+U19*NORMDIST((-1*LN(U27*EXP((U28+1%)*(U20-U26)/365)/U19)+0.5*U32*U32*(U20-U26)/365)/U32/SQRT((U20-U26)/365),0,1,TRUE),0))*EXP(-1*(U29+1%)*(U20-U26)/365)-IF(U$25="C",U27*EXP(U28*(U20-U26)/365)*NORMDIST((LN(U27*EXP(U28*(U20-U26)/365)/U19)+0.5*U32*U32*(U20-U26)/365)/U32/SQRT((U20-U26)/365),0,1,TRUE)-U19*NORMDIST((LN(U27*EXP(U28*(U20-U26)/365)/U19)-0.5*U32*U32*(U20-U26)/365)/U32/SQRT((U20-U26)/365),0,1,TRUE),IF(U$25="P",-1*U27*EXP(U28*(U20-U26)/365)*NORMDIST((-1*LN(U27*EXP(U28*(U20-U26)/365)/U19)-0.5*U32*U32*(U20-U26)/365)/U32/SQRT((U20-U26)/365),0,1,TRUE)+U19*NORMDIST((-1*LN(U27*EXP(U28*(U20-U26)/365)/U19)+0.5*U32*U32*(U20-U26)/365)/U32/SQRT((U20-U26)/365),0,1,TRUE),0))*EXP(-1*U29*(U20-U26)/365)</f>
        <v>-1610.889818965371</v>
      </c>
      <c r="V53" s="254">
        <f t="shared" ca="1" si="361"/>
        <v>-1624.6742275341376</v>
      </c>
      <c r="W53" s="254">
        <f t="shared" ref="W53:X53" ca="1" si="362">IF(W$25="C",W27*EXP((W28+1%)*(W20-W26)/365)*NORMDIST((LN(W27*EXP((W28+1%)*(W20-W26)/365)/W19)+0.5*W32*W32*(W20-W26)/365)/W32/SQRT((W20-W26)/365),0,1,TRUE)-W19*NORMDIST((LN(W27*EXP((W28+1%)*(W20-W26)/365)/W19)-0.5*W32*W32*(W20-W26)/365)/W32/SQRT((W20-W26)/365),0,1,TRUE),IF(W$25="P",-1*W27*EXP((W28+1%)*(W20-W26)/365)*NORMDIST((-1*LN(W27*EXP((W28+1%)*(W20-W26)/365)/W19)-0.5*W32*W32*(W20-W26)/365)/W32/SQRT((W20-W26)/365),0,1,TRUE)+W19*NORMDIST((-1*LN(W27*EXP((W28+1%)*(W20-W26)/365)/W19)+0.5*W32*W32*(W20-W26)/365)/W32/SQRT((W20-W26)/365),0,1,TRUE),0))*EXP(-1*(W29+1%)*(W20-W26)/365)-IF(W$25="C",W27*EXP(W28*(W20-W26)/365)*NORMDIST((LN(W27*EXP(W28*(W20-W26)/365)/W19)+0.5*W32*W32*(W20-W26)/365)/W32/SQRT((W20-W26)/365),0,1,TRUE)-W19*NORMDIST((LN(W27*EXP(W28*(W20-W26)/365)/W19)-0.5*W32*W32*(W20-W26)/365)/W32/SQRT((W20-W26)/365),0,1,TRUE),IF(W$25="P",-1*W27*EXP(W28*(W20-W26)/365)*NORMDIST((-1*LN(W27*EXP(W28*(W20-W26)/365)/W19)-0.5*W32*W32*(W20-W26)/365)/W32/SQRT((W20-W26)/365),0,1,TRUE)+W19*NORMDIST((-1*LN(W27*EXP(W28*(W20-W26)/365)/W19)+0.5*W32*W32*(W20-W26)/365)/W32/SQRT((W20-W26)/365),0,1,TRUE),0))*EXP(-1*W29*(W20-W26)/365)</f>
        <v>-1634.1019797311546</v>
      </c>
      <c r="X53" s="254">
        <f t="shared" si="362"/>
        <v>0</v>
      </c>
      <c r="Y53" s="254">
        <f t="shared" ref="Y53" si="363">IF(Y$25="C",Y27*EXP((Y28+1%)*(Y20-Y26)/365)*NORMDIST((LN(Y27*EXP((Y28+1%)*(Y20-Y26)/365)/Y19)+0.5*Y32*Y32*(Y20-Y26)/365)/Y32/SQRT((Y20-Y26)/365),0,1,TRUE)-Y19*NORMDIST((LN(Y27*EXP((Y28+1%)*(Y20-Y26)/365)/Y19)-0.5*Y32*Y32*(Y20-Y26)/365)/Y32/SQRT((Y20-Y26)/365),0,1,TRUE),IF(Y$25="P",-1*Y27*EXP((Y28+1%)*(Y20-Y26)/365)*NORMDIST((-1*LN(Y27*EXP((Y28+1%)*(Y20-Y26)/365)/Y19)-0.5*Y32*Y32*(Y20-Y26)/365)/Y32/SQRT((Y20-Y26)/365),0,1,TRUE)+Y19*NORMDIST((-1*LN(Y27*EXP((Y28+1%)*(Y20-Y26)/365)/Y19)+0.5*Y32*Y32*(Y20-Y26)/365)/Y32/SQRT((Y20-Y26)/365),0,1,TRUE),0))*EXP(-1*(Y29+1%)*(Y20-Y26)/365)-IF(Y$25="C",Y27*EXP(Y28*(Y20-Y26)/365)*NORMDIST((LN(Y27*EXP(Y28*(Y20-Y26)/365)/Y19)+0.5*Y32*Y32*(Y20-Y26)/365)/Y32/SQRT((Y20-Y26)/365),0,1,TRUE)-Y19*NORMDIST((LN(Y27*EXP(Y28*(Y20-Y26)/365)/Y19)-0.5*Y32*Y32*(Y20-Y26)/365)/Y32/SQRT((Y20-Y26)/365),0,1,TRUE),IF(Y$25="P",-1*Y27*EXP(Y28*(Y20-Y26)/365)*NORMDIST((-1*LN(Y27*EXP(Y28*(Y20-Y26)/365)/Y19)-0.5*Y32*Y32*(Y20-Y26)/365)/Y32/SQRT((Y20-Y26)/365),0,1,TRUE)+Y19*NORMDIST((-1*LN(Y27*EXP(Y28*(Y20-Y26)/365)/Y19)+0.5*Y32*Y32*(Y20-Y26)/365)/Y32/SQRT((Y20-Y26)/365),0,1,TRUE),0))*EXP(-1*Y29*(Y20-Y26)/365)</f>
        <v>0</v>
      </c>
      <c r="Z53" s="254">
        <f t="shared" ca="1" si="354"/>
        <v>-383.93439974330136</v>
      </c>
      <c r="AA53" s="254">
        <f t="shared" ca="1" si="354"/>
        <v>-403.21467590728821</v>
      </c>
      <c r="AB53" s="254">
        <f t="shared" ca="1" si="354"/>
        <v>-422.85961904492842</v>
      </c>
      <c r="AC53" s="254">
        <f t="shared" ref="AC53:AD53" ca="1" si="364">IF(AC$25="C",AC27*EXP((AC28+1%)*(AC20-AC26)/365)*NORMDIST((LN(AC27*EXP((AC28+1%)*(AC20-AC26)/365)/AC19)+0.5*AC32*AC32*(AC20-AC26)/365)/AC32/SQRT((AC20-AC26)/365),0,1,TRUE)-AC19*NORMDIST((LN(AC27*EXP((AC28+1%)*(AC20-AC26)/365)/AC19)-0.5*AC32*AC32*(AC20-AC26)/365)/AC32/SQRT((AC20-AC26)/365),0,1,TRUE),IF(AC$25="P",-1*AC27*EXP((AC28+1%)*(AC20-AC26)/365)*NORMDIST((-1*LN(AC27*EXP((AC28+1%)*(AC20-AC26)/365)/AC19)-0.5*AC32*AC32*(AC20-AC26)/365)/AC32/SQRT((AC20-AC26)/365),0,1,TRUE)+AC19*NORMDIST((-1*LN(AC27*EXP((AC28+1%)*(AC20-AC26)/365)/AC19)+0.5*AC32*AC32*(AC20-AC26)/365)/AC32/SQRT((AC20-AC26)/365),0,1,TRUE),0))*EXP(-1*(AC29+1%)*(AC20-AC26)/365)-IF(AC$25="C",AC27*EXP(AC28*(AC20-AC26)/365)*NORMDIST((LN(AC27*EXP(AC28*(AC20-AC26)/365)/AC19)+0.5*AC32*AC32*(AC20-AC26)/365)/AC32/SQRT((AC20-AC26)/365),0,1,TRUE)-AC19*NORMDIST((LN(AC27*EXP(AC28*(AC20-AC26)/365)/AC19)-0.5*AC32*AC32*(AC20-AC26)/365)/AC32/SQRT((AC20-AC26)/365),0,1,TRUE),IF(AC$25="P",-1*AC27*EXP(AC28*(AC20-AC26)/365)*NORMDIST((-1*LN(AC27*EXP(AC28*(AC20-AC26)/365)/AC19)-0.5*AC32*AC32*(AC20-AC26)/365)/AC32/SQRT((AC20-AC26)/365),0,1,TRUE)+AC19*NORMDIST((-1*LN(AC27*EXP(AC28*(AC20-AC26)/365)/AC19)+0.5*AC32*AC32*(AC20-AC26)/365)/AC32/SQRT((AC20-AC26)/365),0,1,TRUE),0))*EXP(-1*AC29*(AC20-AC26)/365)</f>
        <v>-442.62261042068417</v>
      </c>
      <c r="AD53" s="254">
        <f t="shared" ca="1" si="364"/>
        <v>-459.73008281391662</v>
      </c>
      <c r="AE53" s="254">
        <f t="shared" ref="AE53:AF53" ca="1" si="365">IF(AE$25="C",AE27*EXP((AE28+1%)*(AE20-AE26)/365)*NORMDIST((LN(AE27*EXP((AE28+1%)*(AE20-AE26)/365)/AE19)+0.5*AE32*AE32*(AE20-AE26)/365)/AE32/SQRT((AE20-AE26)/365),0,1,TRUE)-AE19*NORMDIST((LN(AE27*EXP((AE28+1%)*(AE20-AE26)/365)/AE19)-0.5*AE32*AE32*(AE20-AE26)/365)/AE32/SQRT((AE20-AE26)/365),0,1,TRUE),IF(AE$25="P",-1*AE27*EXP((AE28+1%)*(AE20-AE26)/365)*NORMDIST((-1*LN(AE27*EXP((AE28+1%)*(AE20-AE26)/365)/AE19)-0.5*AE32*AE32*(AE20-AE26)/365)/AE32/SQRT((AE20-AE26)/365),0,1,TRUE)+AE19*NORMDIST((-1*LN(AE27*EXP((AE28+1%)*(AE20-AE26)/365)/AE19)+0.5*AE32*AE32*(AE20-AE26)/365)/AE32/SQRT((AE20-AE26)/365),0,1,TRUE),0))*EXP(-1*(AE29+1%)*(AE20-AE26)/365)-IF(AE$25="C",AE27*EXP(AE28*(AE20-AE26)/365)*NORMDIST((LN(AE27*EXP(AE28*(AE20-AE26)/365)/AE19)+0.5*AE32*AE32*(AE20-AE26)/365)/AE32/SQRT((AE20-AE26)/365),0,1,TRUE)-AE19*NORMDIST((LN(AE27*EXP(AE28*(AE20-AE26)/365)/AE19)-0.5*AE32*AE32*(AE20-AE26)/365)/AE32/SQRT((AE20-AE26)/365),0,1,TRUE),IF(AE$25="P",-1*AE27*EXP(AE28*(AE20-AE26)/365)*NORMDIST((-1*LN(AE27*EXP(AE28*(AE20-AE26)/365)/AE19)-0.5*AE32*AE32*(AE20-AE26)/365)/AE32/SQRT((AE20-AE26)/365),0,1,TRUE)+AE19*NORMDIST((-1*LN(AE27*EXP(AE28*(AE20-AE26)/365)/AE19)+0.5*AE32*AE32*(AE20-AE26)/365)/AE32/SQRT((AE20-AE26)/365),0,1,TRUE),0))*EXP(-1*AE29*(AE20-AE26)/365)</f>
        <v>-474.49987970652046</v>
      </c>
      <c r="AF53" s="254">
        <f t="shared" si="365"/>
        <v>0</v>
      </c>
      <c r="AG53" s="254">
        <f t="shared" ref="AG53" si="366">IF(AG$25="C",AG27*EXP((AG28+1%)*(AG20-AG26)/365)*NORMDIST((LN(AG27*EXP((AG28+1%)*(AG20-AG26)/365)/AG19)+0.5*AG32*AG32*(AG20-AG26)/365)/AG32/SQRT((AG20-AG26)/365),0,1,TRUE)-AG19*NORMDIST((LN(AG27*EXP((AG28+1%)*(AG20-AG26)/365)/AG19)-0.5*AG32*AG32*(AG20-AG26)/365)/AG32/SQRT((AG20-AG26)/365),0,1,TRUE),IF(AG$25="P",-1*AG27*EXP((AG28+1%)*(AG20-AG26)/365)*NORMDIST((-1*LN(AG27*EXP((AG28+1%)*(AG20-AG26)/365)/AG19)-0.5*AG32*AG32*(AG20-AG26)/365)/AG32/SQRT((AG20-AG26)/365),0,1,TRUE)+AG19*NORMDIST((-1*LN(AG27*EXP((AG28+1%)*(AG20-AG26)/365)/AG19)+0.5*AG32*AG32*(AG20-AG26)/365)/AG32/SQRT((AG20-AG26)/365),0,1,TRUE),0))*EXP(-1*(AG29+1%)*(AG20-AG26)/365)-IF(AG$25="C",AG27*EXP(AG28*(AG20-AG26)/365)*NORMDIST((LN(AG27*EXP(AG28*(AG20-AG26)/365)/AG19)+0.5*AG32*AG32*(AG20-AG26)/365)/AG32/SQRT((AG20-AG26)/365),0,1,TRUE)-AG19*NORMDIST((LN(AG27*EXP(AG28*(AG20-AG26)/365)/AG19)-0.5*AG32*AG32*(AG20-AG26)/365)/AG32/SQRT((AG20-AG26)/365),0,1,TRUE),IF(AG$25="P",-1*AG27*EXP(AG28*(AG20-AG26)/365)*NORMDIST((-1*LN(AG27*EXP(AG28*(AG20-AG26)/365)/AG19)-0.5*AG32*AG32*(AG20-AG26)/365)/AG32/SQRT((AG20-AG26)/365),0,1,TRUE)+AG19*NORMDIST((-1*LN(AG27*EXP(AG28*(AG20-AG26)/365)/AG19)+0.5*AG32*AG32*(AG20-AG26)/365)/AG32/SQRT((AG20-AG26)/365),0,1,TRUE),0))*EXP(-1*AG29*(AG20-AG26)/365)</f>
        <v>0</v>
      </c>
      <c r="AH53" s="254">
        <f t="shared" ca="1" si="354"/>
        <v>-368.30682212734519</v>
      </c>
      <c r="AI53" s="254">
        <f t="shared" ca="1" si="354"/>
        <v>-387.38578369341531</v>
      </c>
      <c r="AJ53" s="254">
        <f t="shared" ca="1" si="354"/>
        <v>-406.8639279250533</v>
      </c>
      <c r="AK53" s="254">
        <f t="shared" ref="AK53:AL53" ca="1" si="367">IF(AK$25="C",AK27*EXP((AK28+1%)*(AK20-AK26)/365)*NORMDIST((LN(AK27*EXP((AK28+1%)*(AK20-AK26)/365)/AK19)+0.5*AK32*AK32*(AK20-AK26)/365)/AK32/SQRT((AK20-AK26)/365),0,1,TRUE)-AK19*NORMDIST((LN(AK27*EXP((AK28+1%)*(AK20-AK26)/365)/AK19)-0.5*AK32*AK32*(AK20-AK26)/365)/AK32/SQRT((AK20-AK26)/365),0,1,TRUE),IF(AK$25="P",-1*AK27*EXP((AK28+1%)*(AK20-AK26)/365)*NORMDIST((-1*LN(AK27*EXP((AK28+1%)*(AK20-AK26)/365)/AK19)-0.5*AK32*AK32*(AK20-AK26)/365)/AK32/SQRT((AK20-AK26)/365),0,1,TRUE)+AK19*NORMDIST((-1*LN(AK27*EXP((AK28+1%)*(AK20-AK26)/365)/AK19)+0.5*AK32*AK32*(AK20-AK26)/365)/AK32/SQRT((AK20-AK26)/365),0,1,TRUE),0))*EXP(-1*(AK29+1%)*(AK20-AK26)/365)-IF(AK$25="C",AK27*EXP(AK28*(AK20-AK26)/365)*NORMDIST((LN(AK27*EXP(AK28*(AK20-AK26)/365)/AK19)+0.5*AK32*AK32*(AK20-AK26)/365)/AK32/SQRT((AK20-AK26)/365),0,1,TRUE)-AK19*NORMDIST((LN(AK27*EXP(AK28*(AK20-AK26)/365)/AK19)-0.5*AK32*AK32*(AK20-AK26)/365)/AK32/SQRT((AK20-AK26)/365),0,1,TRUE),IF(AK$25="P",-1*AK27*EXP(AK28*(AK20-AK26)/365)*NORMDIST((-1*LN(AK27*EXP(AK28*(AK20-AK26)/365)/AK19)-0.5*AK32*AK32*(AK20-AK26)/365)/AK32/SQRT((AK20-AK26)/365),0,1,TRUE)+AK19*NORMDIST((-1*LN(AK27*EXP(AK28*(AK20-AK26)/365)/AK19)+0.5*AK32*AK32*(AK20-AK26)/365)/AK32/SQRT((AK20-AK26)/365),0,1,TRUE),0))*EXP(-1*AK29*(AK20-AK26)/365)</f>
        <v>-426.50081882169525</v>
      </c>
      <c r="AL53" s="254">
        <f t="shared" ca="1" si="367"/>
        <v>-443.5357786718796</v>
      </c>
      <c r="AM53" s="254">
        <f t="shared" ref="AM53:AN53" ca="1" si="368">IF(AM$25="C",AM27*EXP((AM28+1%)*(AM20-AM26)/365)*NORMDIST((LN(AM27*EXP((AM28+1%)*(AM20-AM26)/365)/AM19)+0.5*AM32*AM32*(AM20-AM26)/365)/AM32/SQRT((AM20-AM26)/365),0,1,TRUE)-AM19*NORMDIST((LN(AM27*EXP((AM28+1%)*(AM20-AM26)/365)/AM19)-0.5*AM32*AM32*(AM20-AM26)/365)/AM32/SQRT((AM20-AM26)/365),0,1,TRUE),IF(AM$25="P",-1*AM27*EXP((AM28+1%)*(AM20-AM26)/365)*NORMDIST((-1*LN(AM27*EXP((AM28+1%)*(AM20-AM26)/365)/AM19)-0.5*AM32*AM32*(AM20-AM26)/365)/AM32/SQRT((AM20-AM26)/365),0,1,TRUE)+AM19*NORMDIST((-1*LN(AM27*EXP((AM28+1%)*(AM20-AM26)/365)/AM19)+0.5*AM32*AM32*(AM20-AM26)/365)/AM32/SQRT((AM20-AM26)/365),0,1,TRUE),0))*EXP(-1*(AM29+1%)*(AM20-AM26)/365)-IF(AM$25="C",AM27*EXP(AM28*(AM20-AM26)/365)*NORMDIST((LN(AM27*EXP(AM28*(AM20-AM26)/365)/AM19)+0.5*AM32*AM32*(AM20-AM26)/365)/AM32/SQRT((AM20-AM26)/365),0,1,TRUE)-AM19*NORMDIST((LN(AM27*EXP(AM28*(AM20-AM26)/365)/AM19)-0.5*AM32*AM32*(AM20-AM26)/365)/AM32/SQRT((AM20-AM26)/365),0,1,TRUE),IF(AM$25="P",-1*AM27*EXP(AM28*(AM20-AM26)/365)*NORMDIST((-1*LN(AM27*EXP(AM28*(AM20-AM26)/365)/AM19)-0.5*AM32*AM32*(AM20-AM26)/365)/AM32/SQRT((AM20-AM26)/365),0,1,TRUE)+AM19*NORMDIST((-1*LN(AM27*EXP(AM28*(AM20-AM26)/365)/AM19)+0.5*AM32*AM32*(AM20-AM26)/365)/AM32/SQRT((AM20-AM26)/365),0,1,TRUE),0))*EXP(-1*AM29*(AM20-AM26)/365)</f>
        <v>-458.27296686915588</v>
      </c>
      <c r="AN53" s="254">
        <f t="shared" si="368"/>
        <v>0</v>
      </c>
      <c r="AO53" s="254">
        <f t="shared" ref="AO53" si="369">IF(AO$25="C",AO27*EXP((AO28+1%)*(AO20-AO26)/365)*NORMDIST((LN(AO27*EXP((AO28+1%)*(AO20-AO26)/365)/AO19)+0.5*AO32*AO32*(AO20-AO26)/365)/AO32/SQRT((AO20-AO26)/365),0,1,TRUE)-AO19*NORMDIST((LN(AO27*EXP((AO28+1%)*(AO20-AO26)/365)/AO19)-0.5*AO32*AO32*(AO20-AO26)/365)/AO32/SQRT((AO20-AO26)/365),0,1,TRUE),IF(AO$25="P",-1*AO27*EXP((AO28+1%)*(AO20-AO26)/365)*NORMDIST((-1*LN(AO27*EXP((AO28+1%)*(AO20-AO26)/365)/AO19)-0.5*AO32*AO32*(AO20-AO26)/365)/AO32/SQRT((AO20-AO26)/365),0,1,TRUE)+AO19*NORMDIST((-1*LN(AO27*EXP((AO28+1%)*(AO20-AO26)/365)/AO19)+0.5*AO32*AO32*(AO20-AO26)/365)/AO32/SQRT((AO20-AO26)/365),0,1,TRUE),0))*EXP(-1*(AO29+1%)*(AO20-AO26)/365)-IF(AO$25="C",AO27*EXP(AO28*(AO20-AO26)/365)*NORMDIST((LN(AO27*EXP(AO28*(AO20-AO26)/365)/AO19)+0.5*AO32*AO32*(AO20-AO26)/365)/AO32/SQRT((AO20-AO26)/365),0,1,TRUE)-AO19*NORMDIST((LN(AO27*EXP(AO28*(AO20-AO26)/365)/AO19)-0.5*AO32*AO32*(AO20-AO26)/365)/AO32/SQRT((AO20-AO26)/365),0,1,TRUE),IF(AO$25="P",-1*AO27*EXP(AO28*(AO20-AO26)/365)*NORMDIST((-1*LN(AO27*EXP(AO28*(AO20-AO26)/365)/AO19)-0.5*AO32*AO32*(AO20-AO26)/365)/AO32/SQRT((AO20-AO26)/365),0,1,TRUE)+AO19*NORMDIST((-1*LN(AO27*EXP(AO28*(AO20-AO26)/365)/AO19)+0.5*AO32*AO32*(AO20-AO26)/365)/AO32/SQRT((AO20-AO26)/365),0,1,TRUE),0))*EXP(-1*AO29*(AO20-AO26)/365)</f>
        <v>0</v>
      </c>
      <c r="AP53" s="254">
        <f t="shared" ref="AP53:AU53" ca="1" si="370">IF(AP$25="C",AP27*EXP((AP28+1%)*(AP20-AP26)/365)*NORMDIST((LN(AP27*EXP((AP28+1%)*(AP20-AP26)/365)/AP19)+0.5*AP32*AP32*(AP20-AP26)/365)/AP32/SQRT((AP20-AP26)/365),0,1,TRUE)-AP19*NORMDIST((LN(AP27*EXP((AP28+1%)*(AP20-AP26)/365)/AP19)-0.5*AP32*AP32*(AP20-AP26)/365)/AP32/SQRT((AP20-AP26)/365),0,1,TRUE),IF(AP$25="P",-1*AP27*EXP((AP28+1%)*(AP20-AP26)/365)*NORMDIST((-1*LN(AP27*EXP((AP28+1%)*(AP20-AP26)/365)/AP19)-0.5*AP32*AP32*(AP20-AP26)/365)/AP32/SQRT((AP20-AP26)/365),0,1,TRUE)+AP19*NORMDIST((-1*LN(AP27*EXP((AP28+1%)*(AP20-AP26)/365)/AP19)+0.5*AP32*AP32*(AP20-AP26)/365)/AP32/SQRT((AP20-AP26)/365),0,1,TRUE),0))*EXP(-1*(AP29+1%)*(AP20-AP26)/365)-IF(AP$25="C",AP27*EXP(AP28*(AP20-AP26)/365)*NORMDIST((LN(AP27*EXP(AP28*(AP20-AP26)/365)/AP19)+0.5*AP32*AP32*(AP20-AP26)/365)/AP32/SQRT((AP20-AP26)/365),0,1,TRUE)-AP19*NORMDIST((LN(AP27*EXP(AP28*(AP20-AP26)/365)/AP19)-0.5*AP32*AP32*(AP20-AP26)/365)/AP32/SQRT((AP20-AP26)/365),0,1,TRUE),IF(AP$25="P",-1*AP27*EXP(AP28*(AP20-AP26)/365)*NORMDIST((-1*LN(AP27*EXP(AP28*(AP20-AP26)/365)/AP19)-0.5*AP32*AP32*(AP20-AP26)/365)/AP32/SQRT((AP20-AP26)/365),0,1,TRUE)+AP19*NORMDIST((-1*LN(AP27*EXP(AP28*(AP20-AP26)/365)/AP19)+0.5*AP32*AP32*(AP20-AP26)/365)/AP32/SQRT((AP20-AP26)/365),0,1,TRUE),0))*EXP(-1*AP29*(AP20-AP26)/365)</f>
        <v>-197.39256777465334</v>
      </c>
      <c r="AQ53" s="254">
        <f t="shared" ca="1" si="370"/>
        <v>-212.69527740579701</v>
      </c>
      <c r="AR53" s="254">
        <f t="shared" ca="1" si="370"/>
        <v>-228.74110153414097</v>
      </c>
      <c r="AS53" s="254">
        <f t="shared" ca="1" si="370"/>
        <v>-245.37544907612232</v>
      </c>
      <c r="AT53" s="254">
        <f t="shared" ca="1" si="370"/>
        <v>-260.20563323070769</v>
      </c>
      <c r="AU53" s="254">
        <f t="shared" ca="1" si="370"/>
        <v>-273.36093419050894</v>
      </c>
      <c r="AV53" s="254">
        <f t="shared" ref="AV53:AW53" si="371">IF(AV$25="C",AV27*EXP((AV28+1%)*(AV20-AV26)/365)*NORMDIST((LN(AV27*EXP((AV28+1%)*(AV20-AV26)/365)/AV19)+0.5*AV32*AV32*(AV20-AV26)/365)/AV32/SQRT((AV20-AV26)/365),0,1,TRUE)-AV19*NORMDIST((LN(AV27*EXP((AV28+1%)*(AV20-AV26)/365)/AV19)-0.5*AV32*AV32*(AV20-AV26)/365)/AV32/SQRT((AV20-AV26)/365),0,1,TRUE),IF(AV$25="P",-1*AV27*EXP((AV28+1%)*(AV20-AV26)/365)*NORMDIST((-1*LN(AV27*EXP((AV28+1%)*(AV20-AV26)/365)/AV19)-0.5*AV32*AV32*(AV20-AV26)/365)/AV32/SQRT((AV20-AV26)/365),0,1,TRUE)+AV19*NORMDIST((-1*LN(AV27*EXP((AV28+1%)*(AV20-AV26)/365)/AV19)+0.5*AV32*AV32*(AV20-AV26)/365)/AV32/SQRT((AV20-AV26)/365),0,1,TRUE),0))*EXP(-1*(AV29+1%)*(AV20-AV26)/365)-IF(AV$25="C",AV27*EXP(AV28*(AV20-AV26)/365)*NORMDIST((LN(AV27*EXP(AV28*(AV20-AV26)/365)/AV19)+0.5*AV32*AV32*(AV20-AV26)/365)/AV32/SQRT((AV20-AV26)/365),0,1,TRUE)-AV19*NORMDIST((LN(AV27*EXP(AV28*(AV20-AV26)/365)/AV19)-0.5*AV32*AV32*(AV20-AV26)/365)/AV32/SQRT((AV20-AV26)/365),0,1,TRUE),IF(AV$25="P",-1*AV27*EXP(AV28*(AV20-AV26)/365)*NORMDIST((-1*LN(AV27*EXP(AV28*(AV20-AV26)/365)/AV19)-0.5*AV32*AV32*(AV20-AV26)/365)/AV32/SQRT((AV20-AV26)/365),0,1,TRUE)+AV19*NORMDIST((-1*LN(AV27*EXP(AV28*(AV20-AV26)/365)/AV19)+0.5*AV32*AV32*(AV20-AV26)/365)/AV32/SQRT((AV20-AV26)/365),0,1,TRUE),0))*EXP(-1*AV29*(AV20-AV26)/365)</f>
        <v>0</v>
      </c>
      <c r="AW53" s="254">
        <f t="shared" si="371"/>
        <v>0</v>
      </c>
      <c r="AX53" s="254">
        <f t="shared" ref="AX53:CI53" ca="1" si="372">IF(AX$25="C",AX27*EXP((AX28+1%)*(AX20-AX26)/365)*NORMDIST((LN(AX27*EXP((AX28+1%)*(AX20-AX26)/365)/AX19)+0.5*AX32*AX32*(AX20-AX26)/365)/AX32/SQRT((AX20-AX26)/365),0,1,TRUE)-AX19*NORMDIST((LN(AX27*EXP((AX28+1%)*(AX20-AX26)/365)/AX19)-0.5*AX32*AX32*(AX20-AX26)/365)/AX32/SQRT((AX20-AX26)/365),0,1,TRUE),IF(AX$25="P",-1*AX27*EXP((AX28+1%)*(AX20-AX26)/365)*NORMDIST((-1*LN(AX27*EXP((AX28+1%)*(AX20-AX26)/365)/AX19)-0.5*AX32*AX32*(AX20-AX26)/365)/AX32/SQRT((AX20-AX26)/365),0,1,TRUE)+AX19*NORMDIST((-1*LN(AX27*EXP((AX28+1%)*(AX20-AX26)/365)/AX19)+0.5*AX32*AX32*(AX20-AX26)/365)/AX32/SQRT((AX20-AX26)/365),0,1,TRUE),0))*EXP(-1*(AX29+1%)*(AX20-AX26)/365)-IF(AX$25="C",AX27*EXP(AX28*(AX20-AX26)/365)*NORMDIST((LN(AX27*EXP(AX28*(AX20-AX26)/365)/AX19)+0.5*AX32*AX32*(AX20-AX26)/365)/AX32/SQRT((AX20-AX26)/365),0,1,TRUE)-AX19*NORMDIST((LN(AX27*EXP(AX28*(AX20-AX26)/365)/AX19)-0.5*AX32*AX32*(AX20-AX26)/365)/AX32/SQRT((AX20-AX26)/365),0,1,TRUE),IF(AX$25="P",-1*AX27*EXP(AX28*(AX20-AX26)/365)*NORMDIST((-1*LN(AX27*EXP(AX28*(AX20-AX26)/365)/AX19)-0.5*AX32*AX32*(AX20-AX26)/365)/AX32/SQRT((AX20-AX26)/365),0,1,TRUE)+AX19*NORMDIST((-1*LN(AX27*EXP(AX28*(AX20-AX26)/365)/AX19)+0.5*AX32*AX32*(AX20-AX26)/365)/AX32/SQRT((AX20-AX26)/365),0,1,TRUE),0))*EXP(-1*AX29*(AX20-AX26)/365)</f>
        <v>-2059.5026525844241</v>
      </c>
      <c r="AY53" s="254">
        <f t="shared" ca="1" si="372"/>
        <v>-2096.9913904731238</v>
      </c>
      <c r="AZ53" s="254">
        <f t="shared" ca="1" si="372"/>
        <v>-2130.0623848193663</v>
      </c>
      <c r="BA53" s="254">
        <f t="shared" ca="1" si="372"/>
        <v>-2157.7932271464088</v>
      </c>
      <c r="BB53" s="254">
        <f t="shared" ca="1" si="372"/>
        <v>-2176.9755304178416</v>
      </c>
      <c r="BC53" s="254">
        <f t="shared" ca="1" si="372"/>
        <v>-2189.6296040185134</v>
      </c>
      <c r="BD53" s="254">
        <f t="shared" ref="BD53:BE53" si="373">IF(BD$25="C",BD27*EXP((BD28+1%)*(BD20-BD26)/365)*NORMDIST((LN(BD27*EXP((BD28+1%)*(BD20-BD26)/365)/BD19)+0.5*BD32*BD32*(BD20-BD26)/365)/BD32/SQRT((BD20-BD26)/365),0,1,TRUE)-BD19*NORMDIST((LN(BD27*EXP((BD28+1%)*(BD20-BD26)/365)/BD19)-0.5*BD32*BD32*(BD20-BD26)/365)/BD32/SQRT((BD20-BD26)/365),0,1,TRUE),IF(BD$25="P",-1*BD27*EXP((BD28+1%)*(BD20-BD26)/365)*NORMDIST((-1*LN(BD27*EXP((BD28+1%)*(BD20-BD26)/365)/BD19)-0.5*BD32*BD32*(BD20-BD26)/365)/BD32/SQRT((BD20-BD26)/365),0,1,TRUE)+BD19*NORMDIST((-1*LN(BD27*EXP((BD28+1%)*(BD20-BD26)/365)/BD19)+0.5*BD32*BD32*(BD20-BD26)/365)/BD32/SQRT((BD20-BD26)/365),0,1,TRUE),0))*EXP(-1*(BD29+1%)*(BD20-BD26)/365)-IF(BD$25="C",BD27*EXP(BD28*(BD20-BD26)/365)*NORMDIST((LN(BD27*EXP(BD28*(BD20-BD26)/365)/BD19)+0.5*BD32*BD32*(BD20-BD26)/365)/BD32/SQRT((BD20-BD26)/365),0,1,TRUE)-BD19*NORMDIST((LN(BD27*EXP(BD28*(BD20-BD26)/365)/BD19)-0.5*BD32*BD32*(BD20-BD26)/365)/BD32/SQRT((BD20-BD26)/365),0,1,TRUE),IF(BD$25="P",-1*BD27*EXP(BD28*(BD20-BD26)/365)*NORMDIST((-1*LN(BD27*EXP(BD28*(BD20-BD26)/365)/BD19)-0.5*BD32*BD32*(BD20-BD26)/365)/BD32/SQRT((BD20-BD26)/365),0,1,TRUE)+BD19*NORMDIST((-1*LN(BD27*EXP(BD28*(BD20-BD26)/365)/BD19)+0.5*BD32*BD32*(BD20-BD26)/365)/BD32/SQRT((BD20-BD26)/365),0,1,TRUE),0))*EXP(-1*BD29*(BD20-BD26)/365)</f>
        <v>0</v>
      </c>
      <c r="BE53" s="254">
        <f t="shared" si="373"/>
        <v>0</v>
      </c>
      <c r="BF53" s="254">
        <f t="shared" ca="1" si="372"/>
        <v>-1627.1953610291966</v>
      </c>
      <c r="BG53" s="254">
        <f t="shared" ca="1" si="372"/>
        <v>-1654.0493060878853</v>
      </c>
      <c r="BH53" s="254">
        <f t="shared" ca="1" si="372"/>
        <v>-1677.8964162597686</v>
      </c>
      <c r="BI53" s="254">
        <f t="shared" ca="1" si="372"/>
        <v>-1698.0880213291648</v>
      </c>
      <c r="BJ53" s="254">
        <f t="shared" ca="1" si="372"/>
        <v>-1712.2531465434986</v>
      </c>
      <c r="BK53" s="254">
        <f t="shared" ca="1" si="372"/>
        <v>-1721.790856959853</v>
      </c>
      <c r="BL53" s="254">
        <f t="shared" ref="BL53:BM53" si="374">IF(BL$25="C",BL27*EXP((BL28+1%)*(BL20-BL26)/365)*NORMDIST((LN(BL27*EXP((BL28+1%)*(BL20-BL26)/365)/BL19)+0.5*BL32*BL32*(BL20-BL26)/365)/BL32/SQRT((BL20-BL26)/365),0,1,TRUE)-BL19*NORMDIST((LN(BL27*EXP((BL28+1%)*(BL20-BL26)/365)/BL19)-0.5*BL32*BL32*(BL20-BL26)/365)/BL32/SQRT((BL20-BL26)/365),0,1,TRUE),IF(BL$25="P",-1*BL27*EXP((BL28+1%)*(BL20-BL26)/365)*NORMDIST((-1*LN(BL27*EXP((BL28+1%)*(BL20-BL26)/365)/BL19)-0.5*BL32*BL32*(BL20-BL26)/365)/BL32/SQRT((BL20-BL26)/365),0,1,TRUE)+BL19*NORMDIST((-1*LN(BL27*EXP((BL28+1%)*(BL20-BL26)/365)/BL19)+0.5*BL32*BL32*(BL20-BL26)/365)/BL32/SQRT((BL20-BL26)/365),0,1,TRUE),0))*EXP(-1*(BL29+1%)*(BL20-BL26)/365)-IF(BL$25="C",BL27*EXP(BL28*(BL20-BL26)/365)*NORMDIST((LN(BL27*EXP(BL28*(BL20-BL26)/365)/BL19)+0.5*BL32*BL32*(BL20-BL26)/365)/BL32/SQRT((BL20-BL26)/365),0,1,TRUE)-BL19*NORMDIST((LN(BL27*EXP(BL28*(BL20-BL26)/365)/BL19)-0.5*BL32*BL32*(BL20-BL26)/365)/BL32/SQRT((BL20-BL26)/365),0,1,TRUE),IF(BL$25="P",-1*BL27*EXP(BL28*(BL20-BL26)/365)*NORMDIST((-1*LN(BL27*EXP(BL28*(BL20-BL26)/365)/BL19)-0.5*BL32*BL32*(BL20-BL26)/365)/BL32/SQRT((BL20-BL26)/365),0,1,TRUE)+BL19*NORMDIST((-1*LN(BL27*EXP(BL28*(BL20-BL26)/365)/BL19)+0.5*BL32*BL32*(BL20-BL26)/365)/BL32/SQRT((BL20-BL26)/365),0,1,TRUE),0))*EXP(-1*BL29*(BL20-BL26)/365)</f>
        <v>0</v>
      </c>
      <c r="BM53" s="254">
        <f t="shared" si="374"/>
        <v>0</v>
      </c>
      <c r="BN53" s="254">
        <f t="shared" ca="1" si="372"/>
        <v>-1543.1524967998375</v>
      </c>
      <c r="BO53" s="254">
        <f t="shared" ca="1" si="372"/>
        <v>-1568.6707993840209</v>
      </c>
      <c r="BP53" s="254">
        <f t="shared" ca="1" si="372"/>
        <v>-1591.453020212648</v>
      </c>
      <c r="BQ53" s="254">
        <f t="shared" ca="1" si="372"/>
        <v>-1610.889818965371</v>
      </c>
      <c r="BR53" s="254">
        <f t="shared" ca="1" si="372"/>
        <v>-1624.6742275341376</v>
      </c>
      <c r="BS53" s="254">
        <f t="shared" ca="1" si="372"/>
        <v>-1634.1019797311546</v>
      </c>
      <c r="BT53" s="254">
        <f t="shared" ref="BT53:BU53" si="375">IF(BT$25="C",BT27*EXP((BT28+1%)*(BT20-BT26)/365)*NORMDIST((LN(BT27*EXP((BT28+1%)*(BT20-BT26)/365)/BT19)+0.5*BT32*BT32*(BT20-BT26)/365)/BT32/SQRT((BT20-BT26)/365),0,1,TRUE)-BT19*NORMDIST((LN(BT27*EXP((BT28+1%)*(BT20-BT26)/365)/BT19)-0.5*BT32*BT32*(BT20-BT26)/365)/BT32/SQRT((BT20-BT26)/365),0,1,TRUE),IF(BT$25="P",-1*BT27*EXP((BT28+1%)*(BT20-BT26)/365)*NORMDIST((-1*LN(BT27*EXP((BT28+1%)*(BT20-BT26)/365)/BT19)-0.5*BT32*BT32*(BT20-BT26)/365)/BT32/SQRT((BT20-BT26)/365),0,1,TRUE)+BT19*NORMDIST((-1*LN(BT27*EXP((BT28+1%)*(BT20-BT26)/365)/BT19)+0.5*BT32*BT32*(BT20-BT26)/365)/BT32/SQRT((BT20-BT26)/365),0,1,TRUE),0))*EXP(-1*(BT29+1%)*(BT20-BT26)/365)-IF(BT$25="C",BT27*EXP(BT28*(BT20-BT26)/365)*NORMDIST((LN(BT27*EXP(BT28*(BT20-BT26)/365)/BT19)+0.5*BT32*BT32*(BT20-BT26)/365)/BT32/SQRT((BT20-BT26)/365),0,1,TRUE)-BT19*NORMDIST((LN(BT27*EXP(BT28*(BT20-BT26)/365)/BT19)-0.5*BT32*BT32*(BT20-BT26)/365)/BT32/SQRT((BT20-BT26)/365),0,1,TRUE),IF(BT$25="P",-1*BT27*EXP(BT28*(BT20-BT26)/365)*NORMDIST((-1*LN(BT27*EXP(BT28*(BT20-BT26)/365)/BT19)-0.5*BT32*BT32*(BT20-BT26)/365)/BT32/SQRT((BT20-BT26)/365),0,1,TRUE)+BT19*NORMDIST((-1*LN(BT27*EXP(BT28*(BT20-BT26)/365)/BT19)+0.5*BT32*BT32*(BT20-BT26)/365)/BT32/SQRT((BT20-BT26)/365),0,1,TRUE),0))*EXP(-1*BT29*(BT20-BT26)/365)</f>
        <v>0</v>
      </c>
      <c r="BU53" s="254">
        <f t="shared" si="375"/>
        <v>0</v>
      </c>
      <c r="BV53" s="254">
        <f t="shared" ca="1" si="372"/>
        <v>-383.93439974330136</v>
      </c>
      <c r="BW53" s="254">
        <f t="shared" ca="1" si="372"/>
        <v>-403.21467590728821</v>
      </c>
      <c r="BX53" s="254">
        <f t="shared" ca="1" si="372"/>
        <v>-422.85961904492842</v>
      </c>
      <c r="BY53" s="254">
        <f t="shared" ca="1" si="372"/>
        <v>-442.62261042068417</v>
      </c>
      <c r="BZ53" s="254">
        <f t="shared" ca="1" si="372"/>
        <v>-459.73008281391662</v>
      </c>
      <c r="CA53" s="254">
        <f t="shared" ca="1" si="372"/>
        <v>-474.49987970652046</v>
      </c>
      <c r="CB53" s="254">
        <f t="shared" ref="CB53:CC53" si="376">IF(CB$25="C",CB27*EXP((CB28+1%)*(CB20-CB26)/365)*NORMDIST((LN(CB27*EXP((CB28+1%)*(CB20-CB26)/365)/CB19)+0.5*CB32*CB32*(CB20-CB26)/365)/CB32/SQRT((CB20-CB26)/365),0,1,TRUE)-CB19*NORMDIST((LN(CB27*EXP((CB28+1%)*(CB20-CB26)/365)/CB19)-0.5*CB32*CB32*(CB20-CB26)/365)/CB32/SQRT((CB20-CB26)/365),0,1,TRUE),IF(CB$25="P",-1*CB27*EXP((CB28+1%)*(CB20-CB26)/365)*NORMDIST((-1*LN(CB27*EXP((CB28+1%)*(CB20-CB26)/365)/CB19)-0.5*CB32*CB32*(CB20-CB26)/365)/CB32/SQRT((CB20-CB26)/365),0,1,TRUE)+CB19*NORMDIST((-1*LN(CB27*EXP((CB28+1%)*(CB20-CB26)/365)/CB19)+0.5*CB32*CB32*(CB20-CB26)/365)/CB32/SQRT((CB20-CB26)/365),0,1,TRUE),0))*EXP(-1*(CB29+1%)*(CB20-CB26)/365)-IF(CB$25="C",CB27*EXP(CB28*(CB20-CB26)/365)*NORMDIST((LN(CB27*EXP(CB28*(CB20-CB26)/365)/CB19)+0.5*CB32*CB32*(CB20-CB26)/365)/CB32/SQRT((CB20-CB26)/365),0,1,TRUE)-CB19*NORMDIST((LN(CB27*EXP(CB28*(CB20-CB26)/365)/CB19)-0.5*CB32*CB32*(CB20-CB26)/365)/CB32/SQRT((CB20-CB26)/365),0,1,TRUE),IF(CB$25="P",-1*CB27*EXP(CB28*(CB20-CB26)/365)*NORMDIST((-1*LN(CB27*EXP(CB28*(CB20-CB26)/365)/CB19)-0.5*CB32*CB32*(CB20-CB26)/365)/CB32/SQRT((CB20-CB26)/365),0,1,TRUE)+CB19*NORMDIST((-1*LN(CB27*EXP(CB28*(CB20-CB26)/365)/CB19)+0.5*CB32*CB32*(CB20-CB26)/365)/CB32/SQRT((CB20-CB26)/365),0,1,TRUE),0))*EXP(-1*CB29*(CB20-CB26)/365)</f>
        <v>0</v>
      </c>
      <c r="CC53" s="254">
        <f t="shared" si="376"/>
        <v>0</v>
      </c>
      <c r="CD53" s="254">
        <f t="shared" ca="1" si="372"/>
        <v>-368.30682212734519</v>
      </c>
      <c r="CE53" s="254">
        <f t="shared" ca="1" si="372"/>
        <v>-387.38578369341531</v>
      </c>
      <c r="CF53" s="254">
        <f t="shared" ca="1" si="372"/>
        <v>-406.8639279250533</v>
      </c>
      <c r="CG53" s="254">
        <f t="shared" ca="1" si="372"/>
        <v>-426.50081882169525</v>
      </c>
      <c r="CH53" s="254">
        <f t="shared" ca="1" si="372"/>
        <v>-443.5357786718796</v>
      </c>
      <c r="CI53" s="254">
        <f t="shared" ca="1" si="372"/>
        <v>-458.27296686915588</v>
      </c>
      <c r="CJ53" s="254">
        <f t="shared" ref="CJ53:CK53" si="377">IF(CJ$25="C",CJ27*EXP((CJ28+1%)*(CJ20-CJ26)/365)*NORMDIST((LN(CJ27*EXP((CJ28+1%)*(CJ20-CJ26)/365)/CJ19)+0.5*CJ32*CJ32*(CJ20-CJ26)/365)/CJ32/SQRT((CJ20-CJ26)/365),0,1,TRUE)-CJ19*NORMDIST((LN(CJ27*EXP((CJ28+1%)*(CJ20-CJ26)/365)/CJ19)-0.5*CJ32*CJ32*(CJ20-CJ26)/365)/CJ32/SQRT((CJ20-CJ26)/365),0,1,TRUE),IF(CJ$25="P",-1*CJ27*EXP((CJ28+1%)*(CJ20-CJ26)/365)*NORMDIST((-1*LN(CJ27*EXP((CJ28+1%)*(CJ20-CJ26)/365)/CJ19)-0.5*CJ32*CJ32*(CJ20-CJ26)/365)/CJ32/SQRT((CJ20-CJ26)/365),0,1,TRUE)+CJ19*NORMDIST((-1*LN(CJ27*EXP((CJ28+1%)*(CJ20-CJ26)/365)/CJ19)+0.5*CJ32*CJ32*(CJ20-CJ26)/365)/CJ32/SQRT((CJ20-CJ26)/365),0,1,TRUE),0))*EXP(-1*(CJ29+1%)*(CJ20-CJ26)/365)-IF(CJ$25="C",CJ27*EXP(CJ28*(CJ20-CJ26)/365)*NORMDIST((LN(CJ27*EXP(CJ28*(CJ20-CJ26)/365)/CJ19)+0.5*CJ32*CJ32*(CJ20-CJ26)/365)/CJ32/SQRT((CJ20-CJ26)/365),0,1,TRUE)-CJ19*NORMDIST((LN(CJ27*EXP(CJ28*(CJ20-CJ26)/365)/CJ19)-0.5*CJ32*CJ32*(CJ20-CJ26)/365)/CJ32/SQRT((CJ20-CJ26)/365),0,1,TRUE),IF(CJ$25="P",-1*CJ27*EXP(CJ28*(CJ20-CJ26)/365)*NORMDIST((-1*LN(CJ27*EXP(CJ28*(CJ20-CJ26)/365)/CJ19)-0.5*CJ32*CJ32*(CJ20-CJ26)/365)/CJ32/SQRT((CJ20-CJ26)/365),0,1,TRUE)+CJ19*NORMDIST((-1*LN(CJ27*EXP(CJ28*(CJ20-CJ26)/365)/CJ19)+0.5*CJ32*CJ32*(CJ20-CJ26)/365)/CJ32/SQRT((CJ20-CJ26)/365),0,1,TRUE),0))*EXP(-1*CJ29*(CJ20-CJ26)/365)</f>
        <v>0</v>
      </c>
      <c r="CK53" s="254">
        <f t="shared" si="377"/>
        <v>0</v>
      </c>
      <c r="CL53" s="254">
        <f t="shared" ref="CL53:CQ53" ca="1" si="378">IF(CL$25="C",CL27*EXP((CL28+1%)*(CL20-CL26)/365)*NORMDIST((LN(CL27*EXP((CL28+1%)*(CL20-CL26)/365)/CL19)+0.5*CL32*CL32*(CL20-CL26)/365)/CL32/SQRT((CL20-CL26)/365),0,1,TRUE)-CL19*NORMDIST((LN(CL27*EXP((CL28+1%)*(CL20-CL26)/365)/CL19)-0.5*CL32*CL32*(CL20-CL26)/365)/CL32/SQRT((CL20-CL26)/365),0,1,TRUE),IF(CL$25="P",-1*CL27*EXP((CL28+1%)*(CL20-CL26)/365)*NORMDIST((-1*LN(CL27*EXP((CL28+1%)*(CL20-CL26)/365)/CL19)-0.5*CL32*CL32*(CL20-CL26)/365)/CL32/SQRT((CL20-CL26)/365),0,1,TRUE)+CL19*NORMDIST((-1*LN(CL27*EXP((CL28+1%)*(CL20-CL26)/365)/CL19)+0.5*CL32*CL32*(CL20-CL26)/365)/CL32/SQRT((CL20-CL26)/365),0,1,TRUE),0))*EXP(-1*(CL29+1%)*(CL20-CL26)/365)-IF(CL$25="C",CL27*EXP(CL28*(CL20-CL26)/365)*NORMDIST((LN(CL27*EXP(CL28*(CL20-CL26)/365)/CL19)+0.5*CL32*CL32*(CL20-CL26)/365)/CL32/SQRT((CL20-CL26)/365),0,1,TRUE)-CL19*NORMDIST((LN(CL27*EXP(CL28*(CL20-CL26)/365)/CL19)-0.5*CL32*CL32*(CL20-CL26)/365)/CL32/SQRT((CL20-CL26)/365),0,1,TRUE),IF(CL$25="P",-1*CL27*EXP(CL28*(CL20-CL26)/365)*NORMDIST((-1*LN(CL27*EXP(CL28*(CL20-CL26)/365)/CL19)-0.5*CL32*CL32*(CL20-CL26)/365)/CL32/SQRT((CL20-CL26)/365),0,1,TRUE)+CL19*NORMDIST((-1*LN(CL27*EXP(CL28*(CL20-CL26)/365)/CL19)+0.5*CL32*CL32*(CL20-CL26)/365)/CL32/SQRT((CL20-CL26)/365),0,1,TRUE),0))*EXP(-1*CL29*(CL20-CL26)/365)</f>
        <v>-197.39256777465334</v>
      </c>
      <c r="CM53" s="254">
        <f t="shared" ca="1" si="378"/>
        <v>-212.69527740579701</v>
      </c>
      <c r="CN53" s="254">
        <f t="shared" ca="1" si="378"/>
        <v>-228.74110153414097</v>
      </c>
      <c r="CO53" s="254">
        <f t="shared" ca="1" si="378"/>
        <v>-245.37544907612232</v>
      </c>
      <c r="CP53" s="254">
        <f t="shared" ca="1" si="378"/>
        <v>-260.20563323070769</v>
      </c>
      <c r="CQ53" s="254">
        <f t="shared" ca="1" si="378"/>
        <v>-273.36093419050894</v>
      </c>
      <c r="CR53" s="254">
        <f t="shared" ref="CR53:CS53" si="379">IF(CR$25="C",CR27*EXP((CR28+1%)*(CR20-CR26)/365)*NORMDIST((LN(CR27*EXP((CR28+1%)*(CR20-CR26)/365)/CR19)+0.5*CR32*CR32*(CR20-CR26)/365)/CR32/SQRT((CR20-CR26)/365),0,1,TRUE)-CR19*NORMDIST((LN(CR27*EXP((CR28+1%)*(CR20-CR26)/365)/CR19)-0.5*CR32*CR32*(CR20-CR26)/365)/CR32/SQRT((CR20-CR26)/365),0,1,TRUE),IF(CR$25="P",-1*CR27*EXP((CR28+1%)*(CR20-CR26)/365)*NORMDIST((-1*LN(CR27*EXP((CR28+1%)*(CR20-CR26)/365)/CR19)-0.5*CR32*CR32*(CR20-CR26)/365)/CR32/SQRT((CR20-CR26)/365),0,1,TRUE)+CR19*NORMDIST((-1*LN(CR27*EXP((CR28+1%)*(CR20-CR26)/365)/CR19)+0.5*CR32*CR32*(CR20-CR26)/365)/CR32/SQRT((CR20-CR26)/365),0,1,TRUE),0))*EXP(-1*(CR29+1%)*(CR20-CR26)/365)-IF(CR$25="C",CR27*EXP(CR28*(CR20-CR26)/365)*NORMDIST((LN(CR27*EXP(CR28*(CR20-CR26)/365)/CR19)+0.5*CR32*CR32*(CR20-CR26)/365)/CR32/SQRT((CR20-CR26)/365),0,1,TRUE)-CR19*NORMDIST((LN(CR27*EXP(CR28*(CR20-CR26)/365)/CR19)-0.5*CR32*CR32*(CR20-CR26)/365)/CR32/SQRT((CR20-CR26)/365),0,1,TRUE),IF(CR$25="P",-1*CR27*EXP(CR28*(CR20-CR26)/365)*NORMDIST((-1*LN(CR27*EXP(CR28*(CR20-CR26)/365)/CR19)-0.5*CR32*CR32*(CR20-CR26)/365)/CR32/SQRT((CR20-CR26)/365),0,1,TRUE)+CR19*NORMDIST((-1*LN(CR27*EXP(CR28*(CR20-CR26)/365)/CR19)+0.5*CR32*CR32*(CR20-CR26)/365)/CR32/SQRT((CR20-CR26)/365),0,1,TRUE),0))*EXP(-1*CR29*(CR20-CR26)/365)</f>
        <v>0</v>
      </c>
      <c r="CS53" s="254">
        <f t="shared" si="379"/>
        <v>0</v>
      </c>
    </row>
    <row r="54" spans="1:97">
      <c r="B54" s="21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</row>
    <row r="55" spans="1:97">
      <c r="A55" t="s">
        <v>22</v>
      </c>
      <c r="B55" s="252">
        <f>(B47*$E$5/$B$5/(2*COUNTIF($B$25:$I$25,"P")))</f>
        <v>-10834.411384217334</v>
      </c>
      <c r="C55" s="252">
        <f t="shared" ref="C55:BN55" si="380">(C47*$E$5/$B$5/(2*COUNTIF($B$25:$I$25,"P")))</f>
        <v>-10834.411384217334</v>
      </c>
      <c r="D55" s="252">
        <f t="shared" si="380"/>
        <v>-10834.411384217334</v>
      </c>
      <c r="E55" s="252">
        <f t="shared" si="380"/>
        <v>-10834.411384217334</v>
      </c>
      <c r="F55" s="252">
        <f t="shared" si="380"/>
        <v>-10834.411384217334</v>
      </c>
      <c r="G55" s="252">
        <f t="shared" si="380"/>
        <v>-10834.411384217334</v>
      </c>
      <c r="H55" s="252">
        <f t="shared" si="380"/>
        <v>0</v>
      </c>
      <c r="I55" s="252">
        <f t="shared" si="380"/>
        <v>0</v>
      </c>
      <c r="J55" s="252">
        <f t="shared" si="380"/>
        <v>9756.3605002156091</v>
      </c>
      <c r="K55" s="252">
        <f t="shared" si="380"/>
        <v>9756.3605002156091</v>
      </c>
      <c r="L55" s="252">
        <f t="shared" si="380"/>
        <v>9756.3605002156091</v>
      </c>
      <c r="M55" s="252">
        <f t="shared" si="380"/>
        <v>9756.3605002156091</v>
      </c>
      <c r="N55" s="252">
        <f t="shared" si="380"/>
        <v>9756.3605002156091</v>
      </c>
      <c r="O55" s="252">
        <f t="shared" si="380"/>
        <v>9756.3605002156091</v>
      </c>
      <c r="P55" s="252">
        <f t="shared" si="380"/>
        <v>0</v>
      </c>
      <c r="Q55" s="252">
        <f t="shared" si="380"/>
        <v>0</v>
      </c>
      <c r="R55" s="252">
        <f t="shared" si="380"/>
        <v>1078.0508840017258</v>
      </c>
      <c r="S55" s="252">
        <f t="shared" si="380"/>
        <v>1078.0508840017258</v>
      </c>
      <c r="T55" s="252">
        <f t="shared" si="380"/>
        <v>1078.0508840017258</v>
      </c>
      <c r="U55" s="252">
        <f t="shared" si="380"/>
        <v>1078.0508840017258</v>
      </c>
      <c r="V55" s="252">
        <f t="shared" si="380"/>
        <v>1078.0508840017258</v>
      </c>
      <c r="W55" s="252">
        <f t="shared" si="380"/>
        <v>1078.0508840017258</v>
      </c>
      <c r="X55" s="252">
        <f t="shared" si="380"/>
        <v>0</v>
      </c>
      <c r="Y55" s="252">
        <f t="shared" si="380"/>
        <v>0</v>
      </c>
      <c r="Z55" s="252">
        <f t="shared" si="380"/>
        <v>-27598.102630444158</v>
      </c>
      <c r="AA55" s="252">
        <f t="shared" si="380"/>
        <v>-27598.102630444158</v>
      </c>
      <c r="AB55" s="252">
        <f t="shared" si="380"/>
        <v>-27598.102630444158</v>
      </c>
      <c r="AC55" s="252">
        <f t="shared" si="380"/>
        <v>-27598.102630444158</v>
      </c>
      <c r="AD55" s="252">
        <f t="shared" si="380"/>
        <v>-27598.102630444158</v>
      </c>
      <c r="AE55" s="252">
        <f t="shared" si="380"/>
        <v>-27598.102630444158</v>
      </c>
      <c r="AF55" s="252">
        <f t="shared" si="380"/>
        <v>0</v>
      </c>
      <c r="AG55" s="252">
        <f t="shared" si="380"/>
        <v>0</v>
      </c>
      <c r="AH55" s="252">
        <f t="shared" si="380"/>
        <v>25873.221216041395</v>
      </c>
      <c r="AI55" s="252">
        <f t="shared" si="380"/>
        <v>25873.221216041395</v>
      </c>
      <c r="AJ55" s="252">
        <f t="shared" si="380"/>
        <v>25873.221216041395</v>
      </c>
      <c r="AK55" s="252">
        <f t="shared" si="380"/>
        <v>25873.221216041395</v>
      </c>
      <c r="AL55" s="252">
        <f t="shared" si="380"/>
        <v>25873.221216041395</v>
      </c>
      <c r="AM55" s="252">
        <f t="shared" si="380"/>
        <v>25873.221216041395</v>
      </c>
      <c r="AN55" s="252">
        <f t="shared" si="380"/>
        <v>0</v>
      </c>
      <c r="AO55" s="252">
        <f t="shared" si="380"/>
        <v>0</v>
      </c>
      <c r="AP55" s="252">
        <f t="shared" si="380"/>
        <v>1078.0508840017249</v>
      </c>
      <c r="AQ55" s="252">
        <f t="shared" si="380"/>
        <v>1078.0508840017249</v>
      </c>
      <c r="AR55" s="252">
        <f t="shared" si="380"/>
        <v>1078.0508840017249</v>
      </c>
      <c r="AS55" s="252">
        <f t="shared" si="380"/>
        <v>1078.0508840017249</v>
      </c>
      <c r="AT55" s="252">
        <f t="shared" si="380"/>
        <v>1078.0508840017249</v>
      </c>
      <c r="AU55" s="252">
        <f t="shared" si="380"/>
        <v>1078.0508840017249</v>
      </c>
      <c r="AV55" s="252">
        <f t="shared" si="380"/>
        <v>0</v>
      </c>
      <c r="AW55" s="252">
        <f t="shared" si="380"/>
        <v>0</v>
      </c>
      <c r="AX55" s="252">
        <f t="shared" si="380"/>
        <v>-10834.411384217334</v>
      </c>
      <c r="AY55" s="252">
        <f t="shared" si="380"/>
        <v>-10834.411384217334</v>
      </c>
      <c r="AZ55" s="252">
        <f t="shared" si="380"/>
        <v>-10834.411384217334</v>
      </c>
      <c r="BA55" s="252">
        <f t="shared" si="380"/>
        <v>-10834.411384217334</v>
      </c>
      <c r="BB55" s="252">
        <f t="shared" si="380"/>
        <v>-10834.411384217334</v>
      </c>
      <c r="BC55" s="252">
        <f t="shared" si="380"/>
        <v>-10834.411384217334</v>
      </c>
      <c r="BD55" s="252">
        <f t="shared" si="380"/>
        <v>0</v>
      </c>
      <c r="BE55" s="252">
        <f t="shared" si="380"/>
        <v>0</v>
      </c>
      <c r="BF55" s="252">
        <f t="shared" si="380"/>
        <v>9756.3605002156091</v>
      </c>
      <c r="BG55" s="252">
        <f t="shared" si="380"/>
        <v>9756.3605002156091</v>
      </c>
      <c r="BH55" s="252">
        <f t="shared" si="380"/>
        <v>9756.3605002156091</v>
      </c>
      <c r="BI55" s="252">
        <f t="shared" si="380"/>
        <v>9756.3605002156091</v>
      </c>
      <c r="BJ55" s="252">
        <f t="shared" si="380"/>
        <v>9756.3605002156091</v>
      </c>
      <c r="BK55" s="252">
        <f t="shared" si="380"/>
        <v>9756.3605002156091</v>
      </c>
      <c r="BL55" s="252">
        <f t="shared" si="380"/>
        <v>0</v>
      </c>
      <c r="BM55" s="252">
        <f t="shared" si="380"/>
        <v>0</v>
      </c>
      <c r="BN55" s="252">
        <f t="shared" si="380"/>
        <v>1078.0508840017258</v>
      </c>
      <c r="BO55" s="252">
        <f t="shared" ref="BO55:CS55" si="381">(BO47*$E$5/$B$5/(2*COUNTIF($B$25:$I$25,"P")))</f>
        <v>1078.0508840017258</v>
      </c>
      <c r="BP55" s="252">
        <f t="shared" si="381"/>
        <v>1078.0508840017258</v>
      </c>
      <c r="BQ55" s="252">
        <f t="shared" si="381"/>
        <v>1078.0508840017258</v>
      </c>
      <c r="BR55" s="252">
        <f t="shared" si="381"/>
        <v>1078.0508840017258</v>
      </c>
      <c r="BS55" s="252">
        <f t="shared" si="381"/>
        <v>1078.0508840017258</v>
      </c>
      <c r="BT55" s="252">
        <f t="shared" si="381"/>
        <v>0</v>
      </c>
      <c r="BU55" s="252">
        <f t="shared" si="381"/>
        <v>0</v>
      </c>
      <c r="BV55" s="252">
        <f t="shared" si="381"/>
        <v>-27598.102630444158</v>
      </c>
      <c r="BW55" s="252">
        <f t="shared" si="381"/>
        <v>-27598.102630444158</v>
      </c>
      <c r="BX55" s="252">
        <f t="shared" si="381"/>
        <v>-27598.102630444158</v>
      </c>
      <c r="BY55" s="252">
        <f t="shared" si="381"/>
        <v>-27598.102630444158</v>
      </c>
      <c r="BZ55" s="252">
        <f t="shared" si="381"/>
        <v>-27598.102630444158</v>
      </c>
      <c r="CA55" s="252">
        <f t="shared" si="381"/>
        <v>-27598.102630444158</v>
      </c>
      <c r="CB55" s="252">
        <f t="shared" si="381"/>
        <v>0</v>
      </c>
      <c r="CC55" s="252">
        <f t="shared" si="381"/>
        <v>0</v>
      </c>
      <c r="CD55" s="252">
        <f t="shared" si="381"/>
        <v>25873.221216041395</v>
      </c>
      <c r="CE55" s="252">
        <f t="shared" si="381"/>
        <v>25873.221216041395</v>
      </c>
      <c r="CF55" s="252">
        <f t="shared" si="381"/>
        <v>25873.221216041395</v>
      </c>
      <c r="CG55" s="252">
        <f t="shared" si="381"/>
        <v>25873.221216041395</v>
      </c>
      <c r="CH55" s="252">
        <f t="shared" si="381"/>
        <v>25873.221216041395</v>
      </c>
      <c r="CI55" s="252">
        <f t="shared" si="381"/>
        <v>25873.221216041395</v>
      </c>
      <c r="CJ55" s="252">
        <f t="shared" si="381"/>
        <v>0</v>
      </c>
      <c r="CK55" s="252">
        <f t="shared" si="381"/>
        <v>0</v>
      </c>
      <c r="CL55" s="252">
        <f t="shared" si="381"/>
        <v>1078.0508840017249</v>
      </c>
      <c r="CM55" s="252">
        <f t="shared" si="381"/>
        <v>1078.0508840017249</v>
      </c>
      <c r="CN55" s="252">
        <f t="shared" si="381"/>
        <v>1078.0508840017249</v>
      </c>
      <c r="CO55" s="252">
        <f t="shared" si="381"/>
        <v>1078.0508840017249</v>
      </c>
      <c r="CP55" s="252">
        <f t="shared" si="381"/>
        <v>1078.0508840017249</v>
      </c>
      <c r="CQ55" s="252">
        <f t="shared" si="381"/>
        <v>1078.0508840017249</v>
      </c>
      <c r="CR55" s="252">
        <f t="shared" si="381"/>
        <v>0</v>
      </c>
      <c r="CS55" s="252">
        <f t="shared" si="381"/>
        <v>0</v>
      </c>
    </row>
    <row r="56" spans="1:97">
      <c r="A56" t="s">
        <v>24</v>
      </c>
      <c r="B56" s="21">
        <f ca="1">B55*B35*-1</f>
        <v>155934649.78160354</v>
      </c>
      <c r="C56" s="21">
        <f t="shared" ref="C56:AJ56" ca="1" si="382">C55*C35*-1</f>
        <v>149873521.21753594</v>
      </c>
      <c r="D56" s="21">
        <f t="shared" ca="1" si="382"/>
        <v>143659939.74569115</v>
      </c>
      <c r="E56" s="21">
        <f t="shared" ref="E56:F56" ca="1" si="383">E55*E35*-1</f>
        <v>137344252.51520786</v>
      </c>
      <c r="F56" s="21">
        <f t="shared" ca="1" si="383"/>
        <v>131800049.29951458</v>
      </c>
      <c r="G56" s="21">
        <f t="shared" ref="G56:H56" ca="1" si="384">G55*G35*-1</f>
        <v>126935077.16843563</v>
      </c>
      <c r="H56" s="21">
        <f t="shared" si="384"/>
        <v>0</v>
      </c>
      <c r="I56" s="21">
        <f t="shared" ref="I56" si="385">I55*I35*-1</f>
        <v>0</v>
      </c>
      <c r="J56" s="21">
        <f t="shared" ca="1" si="382"/>
        <v>-102642265.85912149</v>
      </c>
      <c r="K56" s="21">
        <f t="shared" ca="1" si="382"/>
        <v>-99026558.913359702</v>
      </c>
      <c r="L56" s="21">
        <f t="shared" ca="1" si="382"/>
        <v>-95305661.273255244</v>
      </c>
      <c r="M56" s="21">
        <f t="shared" ref="M56:N56" ca="1" si="386">M55*M35*-1</f>
        <v>-91506834.601074353</v>
      </c>
      <c r="N56" s="21">
        <f t="shared" ca="1" si="386"/>
        <v>-88156596.990937844</v>
      </c>
      <c r="O56" s="21">
        <f t="shared" ref="O56:P56" ca="1" si="387">O55*O35*-1</f>
        <v>-85203894.695452124</v>
      </c>
      <c r="P56" s="21">
        <f t="shared" si="387"/>
        <v>0</v>
      </c>
      <c r="Q56" s="21">
        <f t="shared" ref="Q56" si="388">Q55*Q35*-1</f>
        <v>0</v>
      </c>
      <c r="R56" s="21">
        <f t="shared" ca="1" si="382"/>
        <v>-10608069.777740322</v>
      </c>
      <c r="S56" s="21">
        <f t="shared" ca="1" si="382"/>
        <v>-10245954.752236512</v>
      </c>
      <c r="T56" s="21">
        <f t="shared" ca="1" si="382"/>
        <v>-9872617.0030641481</v>
      </c>
      <c r="U56" s="21">
        <f t="shared" ref="U56:V56" ca="1" si="389">U55*U35*-1</f>
        <v>-9490720.1397450157</v>
      </c>
      <c r="V56" s="21">
        <f t="shared" ca="1" si="389"/>
        <v>-9153285.6108322293</v>
      </c>
      <c r="W56" s="21">
        <f t="shared" ref="W56:X56" ca="1" si="390">W55*W35*-1</f>
        <v>-8855389.1452305708</v>
      </c>
      <c r="X56" s="21">
        <f t="shared" si="390"/>
        <v>0</v>
      </c>
      <c r="Y56" s="21">
        <f t="shared" ref="Y56" si="391">Y55*Y35*-1</f>
        <v>0</v>
      </c>
      <c r="Z56" s="21">
        <f t="shared" ca="1" si="382"/>
        <v>59759842.839942329</v>
      </c>
      <c r="AA56" s="21">
        <f t="shared" ca="1" si="382"/>
        <v>60716267.973733686</v>
      </c>
      <c r="AB56" s="21">
        <f t="shared" ca="1" si="382"/>
        <v>61551765.432005309</v>
      </c>
      <c r="AC56" s="21">
        <f t="shared" ref="AC56:AD56" ca="1" si="392">AC55*AC35*-1</f>
        <v>62245724.302929461</v>
      </c>
      <c r="AD56" s="21">
        <f t="shared" ca="1" si="392"/>
        <v>62721656.906126812</v>
      </c>
      <c r="AE56" s="21">
        <f t="shared" ref="AE56:AF56" ca="1" si="393">AE55*AE35*-1</f>
        <v>63033384.868080385</v>
      </c>
      <c r="AF56" s="21">
        <f t="shared" si="393"/>
        <v>0</v>
      </c>
      <c r="AG56" s="21">
        <f t="shared" ref="AG56" si="394">AG55*AG35*-1</f>
        <v>0</v>
      </c>
      <c r="AH56" s="21">
        <f t="shared" ca="1" si="382"/>
        <v>-53727455.576752394</v>
      </c>
      <c r="AI56" s="21">
        <f t="shared" ca="1" si="382"/>
        <v>-54687615.726731934</v>
      </c>
      <c r="AJ56" s="21">
        <f t="shared" ca="1" si="382"/>
        <v>-55540537.491608158</v>
      </c>
      <c r="AK56" s="21">
        <f t="shared" ref="AK56:AL56" ca="1" si="395">AK55*AK35*-1</f>
        <v>-56266368.822242238</v>
      </c>
      <c r="AL56" s="21">
        <f t="shared" ca="1" si="395"/>
        <v>-56782128.261948764</v>
      </c>
      <c r="AM56" s="21">
        <f t="shared" ref="AM56:AN56" ca="1" si="396">AM55*AM35*-1</f>
        <v>-57138009.213586591</v>
      </c>
      <c r="AN56" s="21">
        <f t="shared" si="396"/>
        <v>0</v>
      </c>
      <c r="AO56" s="21">
        <f t="shared" ref="AO56" si="397">AO55*AO35*-1</f>
        <v>0</v>
      </c>
      <c r="AP56" s="21">
        <f t="shared" ref="AP56:AX56" ca="1" si="398">AP55*AP35*-1</f>
        <v>-1201736.2430621374</v>
      </c>
      <c r="AQ56" s="21">
        <f t="shared" ca="1" si="398"/>
        <v>-1258292.6647498407</v>
      </c>
      <c r="AR56" s="21">
        <f t="shared" ca="1" si="398"/>
        <v>-1313844.2258965527</v>
      </c>
      <c r="AS56" s="21">
        <f t="shared" ca="1" si="398"/>
        <v>-1367474.2413258024</v>
      </c>
      <c r="AT56" s="21">
        <f t="shared" ca="1" si="398"/>
        <v>-1411936.8119386476</v>
      </c>
      <c r="AU56" s="21">
        <f t="shared" ca="1" si="398"/>
        <v>-1448745.5586858583</v>
      </c>
      <c r="AV56" s="21">
        <f t="shared" ref="AV56:AW56" si="399">AV55*AV35*-1</f>
        <v>0</v>
      </c>
      <c r="AW56" s="21">
        <f t="shared" si="399"/>
        <v>0</v>
      </c>
      <c r="AX56" s="21">
        <f t="shared" ca="1" si="398"/>
        <v>155934649.78160354</v>
      </c>
      <c r="AY56" s="21">
        <f t="shared" ref="AY56:CI56" ca="1" si="400">AY55*AY35*-1</f>
        <v>149873521.21753594</v>
      </c>
      <c r="AZ56" s="21">
        <f t="shared" ca="1" si="400"/>
        <v>143659939.74569115</v>
      </c>
      <c r="BA56" s="21">
        <f t="shared" ca="1" si="400"/>
        <v>137344252.51520786</v>
      </c>
      <c r="BB56" s="21">
        <f t="shared" ca="1" si="400"/>
        <v>131800049.29951458</v>
      </c>
      <c r="BC56" s="21">
        <f t="shared" ca="1" si="400"/>
        <v>126935077.16843563</v>
      </c>
      <c r="BD56" s="21">
        <f t="shared" ref="BD56:BE56" si="401">BD55*BD35*-1</f>
        <v>0</v>
      </c>
      <c r="BE56" s="21">
        <f t="shared" si="401"/>
        <v>0</v>
      </c>
      <c r="BF56" s="21">
        <f t="shared" ca="1" si="400"/>
        <v>-102642265.85912149</v>
      </c>
      <c r="BG56" s="21">
        <f t="shared" ca="1" si="400"/>
        <v>-99026558.913359702</v>
      </c>
      <c r="BH56" s="21">
        <f t="shared" ca="1" si="400"/>
        <v>-95305661.273255244</v>
      </c>
      <c r="BI56" s="21">
        <f t="shared" ca="1" si="400"/>
        <v>-91506834.601074353</v>
      </c>
      <c r="BJ56" s="21">
        <f t="shared" ca="1" si="400"/>
        <v>-88156596.990937844</v>
      </c>
      <c r="BK56" s="21">
        <f t="shared" ca="1" si="400"/>
        <v>-85203894.695452124</v>
      </c>
      <c r="BL56" s="21">
        <f t="shared" ref="BL56:BM56" si="402">BL55*BL35*-1</f>
        <v>0</v>
      </c>
      <c r="BM56" s="21">
        <f t="shared" si="402"/>
        <v>0</v>
      </c>
      <c r="BN56" s="21">
        <f t="shared" ca="1" si="400"/>
        <v>-10608069.777740322</v>
      </c>
      <c r="BO56" s="21">
        <f t="shared" ca="1" si="400"/>
        <v>-10245954.752236512</v>
      </c>
      <c r="BP56" s="21">
        <f t="shared" ca="1" si="400"/>
        <v>-9872617.0030641481</v>
      </c>
      <c r="BQ56" s="21">
        <f t="shared" ca="1" si="400"/>
        <v>-9490720.1397450157</v>
      </c>
      <c r="BR56" s="21">
        <f t="shared" ca="1" si="400"/>
        <v>-9153285.6108322293</v>
      </c>
      <c r="BS56" s="21">
        <f t="shared" ca="1" si="400"/>
        <v>-8855389.1452305708</v>
      </c>
      <c r="BT56" s="21">
        <f t="shared" ref="BT56:BU56" si="403">BT55*BT35*-1</f>
        <v>0</v>
      </c>
      <c r="BU56" s="21">
        <f t="shared" si="403"/>
        <v>0</v>
      </c>
      <c r="BV56" s="21">
        <f t="shared" ca="1" si="400"/>
        <v>59759842.839942329</v>
      </c>
      <c r="BW56" s="21">
        <f t="shared" ca="1" si="400"/>
        <v>60716267.973733686</v>
      </c>
      <c r="BX56" s="21">
        <f t="shared" ca="1" si="400"/>
        <v>61551765.432005309</v>
      </c>
      <c r="BY56" s="21">
        <f t="shared" ca="1" si="400"/>
        <v>62245724.302929461</v>
      </c>
      <c r="BZ56" s="21">
        <f t="shared" ca="1" si="400"/>
        <v>62721656.906126812</v>
      </c>
      <c r="CA56" s="21">
        <f t="shared" ca="1" si="400"/>
        <v>63033384.868080385</v>
      </c>
      <c r="CB56" s="21">
        <f t="shared" ref="CB56:CC56" si="404">CB55*CB35*-1</f>
        <v>0</v>
      </c>
      <c r="CC56" s="21">
        <f t="shared" si="404"/>
        <v>0</v>
      </c>
      <c r="CD56" s="21">
        <f t="shared" ca="1" si="400"/>
        <v>-53727455.576752394</v>
      </c>
      <c r="CE56" s="21">
        <f t="shared" ca="1" si="400"/>
        <v>-54687615.726731934</v>
      </c>
      <c r="CF56" s="21">
        <f t="shared" ca="1" si="400"/>
        <v>-55540537.491608158</v>
      </c>
      <c r="CG56" s="21">
        <f t="shared" ca="1" si="400"/>
        <v>-56266368.822242238</v>
      </c>
      <c r="CH56" s="21">
        <f t="shared" ca="1" si="400"/>
        <v>-56782128.261948764</v>
      </c>
      <c r="CI56" s="21">
        <f t="shared" ca="1" si="400"/>
        <v>-57138009.213586591</v>
      </c>
      <c r="CJ56" s="21">
        <f t="shared" ref="CJ56:CK56" si="405">CJ55*CJ35*-1</f>
        <v>0</v>
      </c>
      <c r="CK56" s="21">
        <f t="shared" si="405"/>
        <v>0</v>
      </c>
      <c r="CL56" s="21">
        <f t="shared" ref="CL56:CQ56" ca="1" si="406">CL55*CL35*-1</f>
        <v>-1201736.2430621374</v>
      </c>
      <c r="CM56" s="21">
        <f t="shared" ca="1" si="406"/>
        <v>-1258292.6647498407</v>
      </c>
      <c r="CN56" s="21">
        <f t="shared" ca="1" si="406"/>
        <v>-1313844.2258965527</v>
      </c>
      <c r="CO56" s="21">
        <f t="shared" ca="1" si="406"/>
        <v>-1367474.2413258024</v>
      </c>
      <c r="CP56" s="21">
        <f t="shared" ca="1" si="406"/>
        <v>-1411936.8119386476</v>
      </c>
      <c r="CQ56" s="21">
        <f t="shared" ca="1" si="406"/>
        <v>-1448745.5586858583</v>
      </c>
      <c r="CR56" s="21">
        <f t="shared" ref="CR56:CS56" si="407">CR55*CR35*-1</f>
        <v>0</v>
      </c>
      <c r="CS56" s="21">
        <f t="shared" si="407"/>
        <v>0</v>
      </c>
    </row>
    <row r="57" spans="1:97">
      <c r="A57" t="s">
        <v>25</v>
      </c>
      <c r="B57" s="21">
        <f ca="1">B49*B27*B55</f>
        <v>513901073.33418775</v>
      </c>
      <c r="C57" s="21">
        <f t="shared" ref="C57:AJ57" ca="1" si="408">C49*C27*C55</f>
        <v>492665063.60332394</v>
      </c>
      <c r="D57" s="21">
        <f t="shared" ca="1" si="408"/>
        <v>470811999.89199364</v>
      </c>
      <c r="E57" s="21">
        <f t="shared" ref="E57:F57" ca="1" si="409">E49*E27*E55</f>
        <v>448551857.56979764</v>
      </c>
      <c r="F57" s="21">
        <f t="shared" ca="1" si="409"/>
        <v>428998792.48158348</v>
      </c>
      <c r="G57" s="21">
        <f t="shared" ref="G57:H57" ca="1" si="410">G49*G27*G55</f>
        <v>411849898.63809514</v>
      </c>
      <c r="H57" s="21">
        <f t="shared" si="410"/>
        <v>0</v>
      </c>
      <c r="I57" s="21">
        <f t="shared" ref="I57" si="411">I49*I27*I55</f>
        <v>0</v>
      </c>
      <c r="J57" s="21">
        <f t="shared" ca="1" si="408"/>
        <v>-377891815.34202731</v>
      </c>
      <c r="K57" s="21">
        <f t="shared" ca="1" si="408"/>
        <v>-361169457.63543808</v>
      </c>
      <c r="L57" s="21">
        <f t="shared" ca="1" si="408"/>
        <v>-344204149.85058826</v>
      </c>
      <c r="M57" s="21">
        <f t="shared" ref="M57:N57" ca="1" si="412">M49*M27*M55</f>
        <v>-327146218.32219821</v>
      </c>
      <c r="N57" s="21">
        <f t="shared" ca="1" si="412"/>
        <v>-312327498.68732691</v>
      </c>
      <c r="O57" s="21">
        <f t="shared" ref="O57:P57" ca="1" si="413">O49*O27*O55</f>
        <v>-299444251.10226887</v>
      </c>
      <c r="P57" s="21">
        <f t="shared" si="413"/>
        <v>0</v>
      </c>
      <c r="Q57" s="21">
        <f t="shared" ref="Q57" si="414">Q49*Q27*Q55</f>
        <v>0</v>
      </c>
      <c r="R57" s="21">
        <f t="shared" ca="1" si="408"/>
        <v>-39830156.585568443</v>
      </c>
      <c r="S57" s="21">
        <f t="shared" ca="1" si="408"/>
        <v>-38058476.556159548</v>
      </c>
      <c r="T57" s="21">
        <f t="shared" ca="1" si="408"/>
        <v>-36264446.085620642</v>
      </c>
      <c r="U57" s="21">
        <f t="shared" ref="U57:V57" ca="1" si="415">U49*U27*U55</f>
        <v>-34463649.984882295</v>
      </c>
      <c r="V57" s="21">
        <f t="shared" ca="1" si="415"/>
        <v>-32901411.247537836</v>
      </c>
      <c r="W57" s="21">
        <f t="shared" ref="W57:X57" ca="1" si="416">W49*W27*W55</f>
        <v>-31544656.968074996</v>
      </c>
      <c r="X57" s="21">
        <f t="shared" si="416"/>
        <v>0</v>
      </c>
      <c r="Y57" s="21">
        <f t="shared" ref="Y57" si="417">Y49*Y27*Y55</f>
        <v>0</v>
      </c>
      <c r="Z57" s="21">
        <f t="shared" ca="1" si="408"/>
        <v>268497361.51701564</v>
      </c>
      <c r="AA57" s="21">
        <f t="shared" ca="1" si="408"/>
        <v>263724081.26195121</v>
      </c>
      <c r="AB57" s="21">
        <f t="shared" ca="1" si="408"/>
        <v>258402918.74344766</v>
      </c>
      <c r="AC57" s="21">
        <f t="shared" ref="AC57:AD57" ca="1" si="418">AC49*AC27*AC55</f>
        <v>252568449.85054648</v>
      </c>
      <c r="AD57" s="21">
        <f t="shared" ca="1" si="418"/>
        <v>247105322.27957356</v>
      </c>
      <c r="AE57" s="21">
        <f t="shared" ref="AE57:AF57" ca="1" si="419">AE49*AE27*AE55</f>
        <v>242056209.96294743</v>
      </c>
      <c r="AF57" s="21">
        <f t="shared" si="419"/>
        <v>0</v>
      </c>
      <c r="AG57" s="21">
        <f t="shared" ref="AG57" si="420">AG49*AG27*AG55</f>
        <v>0</v>
      </c>
      <c r="AH57" s="21">
        <f t="shared" ca="1" si="408"/>
        <v>-241560282.73739919</v>
      </c>
      <c r="AI57" s="21">
        <f t="shared" ca="1" si="408"/>
        <v>-237597799.76063493</v>
      </c>
      <c r="AJ57" s="21">
        <f t="shared" ca="1" si="408"/>
        <v>-233123058.76817486</v>
      </c>
      <c r="AK57" s="21">
        <f t="shared" ref="AK57:AL57" ca="1" si="421">AK49*AK27*AK55</f>
        <v>-228163951.56849432</v>
      </c>
      <c r="AL57" s="21">
        <f t="shared" ca="1" si="421"/>
        <v>-223481253.28635612</v>
      </c>
      <c r="AM57" s="21">
        <f t="shared" ref="AM57:AN57" ca="1" si="422">AM49*AM27*AM55</f>
        <v>-219125925.3993527</v>
      </c>
      <c r="AN57" s="21">
        <f t="shared" si="422"/>
        <v>0</v>
      </c>
      <c r="AO57" s="21">
        <f t="shared" ref="AO57" si="423">AO49*AO27*AO55</f>
        <v>0</v>
      </c>
      <c r="AP57" s="21">
        <f t="shared" ref="AP57:AX57" ca="1" si="424">AP49*AP27*AP55</f>
        <v>-5409243.0140321646</v>
      </c>
      <c r="AQ57" s="21">
        <f t="shared" ca="1" si="424"/>
        <v>-5442777.7403228302</v>
      </c>
      <c r="AR57" s="21">
        <f t="shared" ca="1" si="424"/>
        <v>-5459796.2256584978</v>
      </c>
      <c r="AS57" s="21">
        <f t="shared" ca="1" si="424"/>
        <v>-5459426.0281741098</v>
      </c>
      <c r="AT57" s="21">
        <f t="shared" ca="1" si="424"/>
        <v>-5444670.4667628212</v>
      </c>
      <c r="AU57" s="21">
        <f t="shared" ca="1" si="424"/>
        <v>-5420767.6602931144</v>
      </c>
      <c r="AV57" s="21">
        <f t="shared" ref="AV57:AW57" si="425">AV49*AV27*AV55</f>
        <v>0</v>
      </c>
      <c r="AW57" s="21">
        <f t="shared" si="425"/>
        <v>0</v>
      </c>
      <c r="AX57" s="21">
        <f t="shared" ca="1" si="424"/>
        <v>513901073.33418775</v>
      </c>
      <c r="AY57" s="21">
        <f t="shared" ref="AY57:CI57" ca="1" si="426">AY49*AY27*AY55</f>
        <v>492665063.60332394</v>
      </c>
      <c r="AZ57" s="21">
        <f t="shared" ca="1" si="426"/>
        <v>470811999.89199364</v>
      </c>
      <c r="BA57" s="21">
        <f t="shared" ca="1" si="426"/>
        <v>448551857.56979764</v>
      </c>
      <c r="BB57" s="21">
        <f t="shared" ca="1" si="426"/>
        <v>428998792.48158348</v>
      </c>
      <c r="BC57" s="21">
        <f t="shared" ca="1" si="426"/>
        <v>411849898.63809514</v>
      </c>
      <c r="BD57" s="21">
        <f t="shared" ref="BD57:BE57" si="427">BD49*BD27*BD55</f>
        <v>0</v>
      </c>
      <c r="BE57" s="21">
        <f t="shared" si="427"/>
        <v>0</v>
      </c>
      <c r="BF57" s="21">
        <f t="shared" ca="1" si="426"/>
        <v>-377891815.34202731</v>
      </c>
      <c r="BG57" s="21">
        <f t="shared" ca="1" si="426"/>
        <v>-361169457.63543808</v>
      </c>
      <c r="BH57" s="21">
        <f t="shared" ca="1" si="426"/>
        <v>-344204149.85058826</v>
      </c>
      <c r="BI57" s="21">
        <f t="shared" ca="1" si="426"/>
        <v>-327146218.32219821</v>
      </c>
      <c r="BJ57" s="21">
        <f t="shared" ca="1" si="426"/>
        <v>-312327498.68732691</v>
      </c>
      <c r="BK57" s="21">
        <f t="shared" ca="1" si="426"/>
        <v>-299444251.10226887</v>
      </c>
      <c r="BL57" s="21">
        <f t="shared" ref="BL57:BM57" si="428">BL49*BL27*BL55</f>
        <v>0</v>
      </c>
      <c r="BM57" s="21">
        <f t="shared" si="428"/>
        <v>0</v>
      </c>
      <c r="BN57" s="21">
        <f t="shared" ca="1" si="426"/>
        <v>-39830156.585568443</v>
      </c>
      <c r="BO57" s="21">
        <f t="shared" ca="1" si="426"/>
        <v>-38058476.556159548</v>
      </c>
      <c r="BP57" s="21">
        <f t="shared" ca="1" si="426"/>
        <v>-36264446.085620642</v>
      </c>
      <c r="BQ57" s="21">
        <f t="shared" ca="1" si="426"/>
        <v>-34463649.984882295</v>
      </c>
      <c r="BR57" s="21">
        <f t="shared" ca="1" si="426"/>
        <v>-32901411.247537836</v>
      </c>
      <c r="BS57" s="21">
        <f t="shared" ca="1" si="426"/>
        <v>-31544656.968074996</v>
      </c>
      <c r="BT57" s="21">
        <f t="shared" ref="BT57:BU57" si="429">BT49*BT27*BT55</f>
        <v>0</v>
      </c>
      <c r="BU57" s="21">
        <f t="shared" si="429"/>
        <v>0</v>
      </c>
      <c r="BV57" s="21">
        <f t="shared" ca="1" si="426"/>
        <v>268497361.51701564</v>
      </c>
      <c r="BW57" s="21">
        <f t="shared" ca="1" si="426"/>
        <v>263724081.26195121</v>
      </c>
      <c r="BX57" s="21">
        <f t="shared" ca="1" si="426"/>
        <v>258402918.74344766</v>
      </c>
      <c r="BY57" s="21">
        <f t="shared" ca="1" si="426"/>
        <v>252568449.85054648</v>
      </c>
      <c r="BZ57" s="21">
        <f t="shared" ca="1" si="426"/>
        <v>247105322.27957356</v>
      </c>
      <c r="CA57" s="21">
        <f t="shared" ca="1" si="426"/>
        <v>242056209.96294743</v>
      </c>
      <c r="CB57" s="21">
        <f t="shared" ref="CB57:CC57" si="430">CB49*CB27*CB55</f>
        <v>0</v>
      </c>
      <c r="CC57" s="21">
        <f t="shared" si="430"/>
        <v>0</v>
      </c>
      <c r="CD57" s="21">
        <f t="shared" ca="1" si="426"/>
        <v>-241560282.73739919</v>
      </c>
      <c r="CE57" s="21">
        <f t="shared" ca="1" si="426"/>
        <v>-237597799.76063493</v>
      </c>
      <c r="CF57" s="21">
        <f t="shared" ca="1" si="426"/>
        <v>-233123058.76817486</v>
      </c>
      <c r="CG57" s="21">
        <f t="shared" ca="1" si="426"/>
        <v>-228163951.56849432</v>
      </c>
      <c r="CH57" s="21">
        <f t="shared" ca="1" si="426"/>
        <v>-223481253.28635612</v>
      </c>
      <c r="CI57" s="21">
        <f t="shared" ca="1" si="426"/>
        <v>-219125925.3993527</v>
      </c>
      <c r="CJ57" s="21">
        <f t="shared" ref="CJ57:CK57" si="431">CJ49*CJ27*CJ55</f>
        <v>0</v>
      </c>
      <c r="CK57" s="21">
        <f t="shared" si="431"/>
        <v>0</v>
      </c>
      <c r="CL57" s="21">
        <f t="shared" ref="CL57:CQ57" ca="1" si="432">CL49*CL27*CL55</f>
        <v>-5409243.0140321646</v>
      </c>
      <c r="CM57" s="21">
        <f t="shared" ca="1" si="432"/>
        <v>-5442777.7403228302</v>
      </c>
      <c r="CN57" s="21">
        <f t="shared" ca="1" si="432"/>
        <v>-5459796.2256584978</v>
      </c>
      <c r="CO57" s="21">
        <f t="shared" ca="1" si="432"/>
        <v>-5459426.0281741098</v>
      </c>
      <c r="CP57" s="21">
        <f t="shared" ca="1" si="432"/>
        <v>-5444670.4667628212</v>
      </c>
      <c r="CQ57" s="21">
        <f t="shared" ca="1" si="432"/>
        <v>-5420767.6602931144</v>
      </c>
      <c r="CR57" s="21">
        <f t="shared" ref="CR57:CS57" si="433">CR49*CR27*CR55</f>
        <v>0</v>
      </c>
      <c r="CS57" s="21">
        <f t="shared" si="433"/>
        <v>0</v>
      </c>
    </row>
    <row r="58" spans="1:97">
      <c r="A58" t="s">
        <v>23</v>
      </c>
      <c r="B58" s="253">
        <f ca="1">B55*B49</f>
        <v>6691.5073547075835</v>
      </c>
      <c r="C58" s="253">
        <f t="shared" ref="C58:AJ58" ca="1" si="434">C55*C49</f>
        <v>6414.9932108923813</v>
      </c>
      <c r="D58" s="253">
        <f t="shared" ca="1" si="434"/>
        <v>6130.4444054218629</v>
      </c>
      <c r="E58" s="253">
        <f t="shared" ref="E58:F58" ca="1" si="435">E55*E49</f>
        <v>5840.5950281878359</v>
      </c>
      <c r="F58" s="253">
        <f t="shared" ca="1" si="435"/>
        <v>5585.9945114074853</v>
      </c>
      <c r="G58" s="253">
        <f t="shared" ref="G58:H58" ca="1" si="436">G55*G49</f>
        <v>5362.698715323053</v>
      </c>
      <c r="H58" s="253">
        <f t="shared" si="436"/>
        <v>0</v>
      </c>
      <c r="I58" s="253">
        <f t="shared" ref="I58" si="437">I55*I49</f>
        <v>0</v>
      </c>
      <c r="J58" s="253">
        <f t="shared" ca="1" si="434"/>
        <v>-4920.5304150057591</v>
      </c>
      <c r="K58" s="253">
        <f t="shared" ca="1" si="434"/>
        <v>-4702.7885471873078</v>
      </c>
      <c r="L58" s="253">
        <f t="shared" ca="1" si="434"/>
        <v>-4481.8832257007034</v>
      </c>
      <c r="M58" s="253">
        <f t="shared" ref="M58:N58" ca="1" si="438">M55*M49</f>
        <v>-4259.7718501829222</v>
      </c>
      <c r="N58" s="253">
        <f t="shared" ca="1" si="438"/>
        <v>-4066.8172591742982</v>
      </c>
      <c r="O58" s="253">
        <f t="shared" ref="O58:P58" ca="1" si="439">O55*O49</f>
        <v>-3899.0644552958879</v>
      </c>
      <c r="P58" s="253">
        <f t="shared" si="439"/>
        <v>0</v>
      </c>
      <c r="Q58" s="253">
        <f t="shared" ref="Q58" si="440">Q55*Q49</f>
        <v>0</v>
      </c>
      <c r="R58" s="253">
        <f t="shared" ca="1" si="434"/>
        <v>-518.62858351760372</v>
      </c>
      <c r="S58" s="253">
        <f t="shared" ca="1" si="434"/>
        <v>-495.55953275641025</v>
      </c>
      <c r="T58" s="253">
        <f t="shared" ca="1" si="434"/>
        <v>-472.19945683694635</v>
      </c>
      <c r="U58" s="253">
        <f t="shared" ref="U58:V58" ca="1" si="441">U55*U49</f>
        <v>-448.75128562718641</v>
      </c>
      <c r="V58" s="253">
        <f t="shared" ca="1" si="441"/>
        <v>-428.409370532661</v>
      </c>
      <c r="W58" s="253">
        <f t="shared" ref="W58:X58" ca="1" si="442">W55*W49</f>
        <v>-410.74306915552285</v>
      </c>
      <c r="X58" s="253">
        <f t="shared" si="442"/>
        <v>0</v>
      </c>
      <c r="Y58" s="253">
        <f t="shared" ref="Y58" si="443">Y55*Y49</f>
        <v>0</v>
      </c>
      <c r="Z58" s="253">
        <f t="shared" ca="1" si="434"/>
        <v>3496.1049169522471</v>
      </c>
      <c r="AA58" s="253">
        <f t="shared" ca="1" si="434"/>
        <v>3433.9520210152637</v>
      </c>
      <c r="AB58" s="253">
        <f t="shared" ca="1" si="434"/>
        <v>3364.6651485494294</v>
      </c>
      <c r="AC58" s="253">
        <f t="shared" ref="AC58:AD58" ca="1" si="444">AC55*AC49</f>
        <v>3288.6945123054529</v>
      </c>
      <c r="AD58" s="253">
        <f t="shared" ca="1" si="444"/>
        <v>3217.5591124828911</v>
      </c>
      <c r="AE58" s="253">
        <f t="shared" ref="AE58:AF58" ca="1" si="445">AE55*AE49</f>
        <v>3151.8146064785665</v>
      </c>
      <c r="AF58" s="253">
        <f t="shared" si="445"/>
        <v>0</v>
      </c>
      <c r="AG58" s="253">
        <f t="shared" ref="AG58" si="446">AG55*AG49</f>
        <v>0</v>
      </c>
      <c r="AH58" s="253">
        <f t="shared" ca="1" si="434"/>
        <v>-3145.3571366476021</v>
      </c>
      <c r="AI58" s="253">
        <f t="shared" ca="1" si="434"/>
        <v>-3093.7616344045491</v>
      </c>
      <c r="AJ58" s="253">
        <f t="shared" ca="1" si="434"/>
        <v>-3035.4960190650254</v>
      </c>
      <c r="AK58" s="253">
        <f t="shared" ref="AK58:AL58" ca="1" si="447">AK55*AK49</f>
        <v>-2970.9234699474514</v>
      </c>
      <c r="AL58" s="253">
        <f t="shared" ca="1" si="447"/>
        <v>-2909.9500421406024</v>
      </c>
      <c r="AM58" s="253">
        <f t="shared" ref="AM58:AN58" ca="1" si="448">AM55*AM49</f>
        <v>-2853.2393051908584</v>
      </c>
      <c r="AN58" s="253">
        <f t="shared" si="448"/>
        <v>0</v>
      </c>
      <c r="AO58" s="253">
        <f t="shared" ref="AO58" si="449">AO55*AO49</f>
        <v>0</v>
      </c>
      <c r="AP58" s="253">
        <f t="shared" ref="AP58:AR58" ca="1" si="450">AP55*AP49</f>
        <v>-70.433768851575735</v>
      </c>
      <c r="AQ58" s="253">
        <f t="shared" ca="1" si="450"/>
        <v>-70.870424619107411</v>
      </c>
      <c r="AR58" s="253">
        <f t="shared" ca="1" si="450"/>
        <v>-71.09202236563624</v>
      </c>
      <c r="AS58" s="253">
        <f t="shared" ref="AS58:AT58" ca="1" si="451">AS55*AS49</f>
        <v>-71.087202023126736</v>
      </c>
      <c r="AT58" s="253">
        <f t="shared" ca="1" si="451"/>
        <v>-70.895069815529126</v>
      </c>
      <c r="AU58" s="253">
        <f t="shared" ref="AU58:AV58" ca="1" si="452">AU55*AU49</f>
        <v>-70.583831303703363</v>
      </c>
      <c r="AV58" s="253">
        <f t="shared" si="452"/>
        <v>0</v>
      </c>
      <c r="AW58" s="253">
        <f t="shared" ref="AW58" si="453">AW55*AW49</f>
        <v>0</v>
      </c>
      <c r="AX58" s="253">
        <f ca="1">AX55*AX49</f>
        <v>6691.5073547075835</v>
      </c>
      <c r="AY58" s="253">
        <f t="shared" ref="AY58:CQ58" ca="1" si="454">AY55*AY49</f>
        <v>6414.9932108923813</v>
      </c>
      <c r="AZ58" s="253">
        <f t="shared" ca="1" si="454"/>
        <v>6130.4444054218629</v>
      </c>
      <c r="BA58" s="253">
        <f t="shared" ca="1" si="454"/>
        <v>5840.5950281878359</v>
      </c>
      <c r="BB58" s="253">
        <f t="shared" ca="1" si="454"/>
        <v>5585.9945114074853</v>
      </c>
      <c r="BC58" s="253">
        <f t="shared" ca="1" si="454"/>
        <v>5362.698715323053</v>
      </c>
      <c r="BD58" s="253">
        <f t="shared" ref="BD58:BE58" si="455">BD55*BD49</f>
        <v>0</v>
      </c>
      <c r="BE58" s="253">
        <f t="shared" si="455"/>
        <v>0</v>
      </c>
      <c r="BF58" s="253">
        <f t="shared" ca="1" si="454"/>
        <v>-4920.5304150057591</v>
      </c>
      <c r="BG58" s="253">
        <f t="shared" ca="1" si="454"/>
        <v>-4702.7885471873078</v>
      </c>
      <c r="BH58" s="253">
        <f t="shared" ca="1" si="454"/>
        <v>-4481.8832257007034</v>
      </c>
      <c r="BI58" s="253">
        <f t="shared" ca="1" si="454"/>
        <v>-4259.7718501829222</v>
      </c>
      <c r="BJ58" s="253">
        <f t="shared" ca="1" si="454"/>
        <v>-4066.8172591742982</v>
      </c>
      <c r="BK58" s="253">
        <f t="shared" ca="1" si="454"/>
        <v>-3899.0644552958879</v>
      </c>
      <c r="BL58" s="253">
        <f t="shared" ref="BL58:BM58" si="456">BL55*BL49</f>
        <v>0</v>
      </c>
      <c r="BM58" s="253">
        <f t="shared" si="456"/>
        <v>0</v>
      </c>
      <c r="BN58" s="253">
        <f t="shared" ca="1" si="454"/>
        <v>-518.62858351760372</v>
      </c>
      <c r="BO58" s="253">
        <f t="shared" ca="1" si="454"/>
        <v>-495.55953275641025</v>
      </c>
      <c r="BP58" s="253">
        <f t="shared" ca="1" si="454"/>
        <v>-472.19945683694635</v>
      </c>
      <c r="BQ58" s="253">
        <f t="shared" ca="1" si="454"/>
        <v>-448.75128562718641</v>
      </c>
      <c r="BR58" s="253">
        <f t="shared" ca="1" si="454"/>
        <v>-428.409370532661</v>
      </c>
      <c r="BS58" s="253">
        <f t="shared" ca="1" si="454"/>
        <v>-410.74306915552285</v>
      </c>
      <c r="BT58" s="253">
        <f t="shared" ref="BT58:BU58" si="457">BT55*BT49</f>
        <v>0</v>
      </c>
      <c r="BU58" s="253">
        <f t="shared" si="457"/>
        <v>0</v>
      </c>
      <c r="BV58" s="253">
        <f t="shared" ca="1" si="454"/>
        <v>3496.1049169522471</v>
      </c>
      <c r="BW58" s="253">
        <f t="shared" ca="1" si="454"/>
        <v>3433.9520210152637</v>
      </c>
      <c r="BX58" s="253">
        <f t="shared" ca="1" si="454"/>
        <v>3364.6651485494294</v>
      </c>
      <c r="BY58" s="253">
        <f t="shared" ca="1" si="454"/>
        <v>3288.6945123054529</v>
      </c>
      <c r="BZ58" s="253">
        <f t="shared" ca="1" si="454"/>
        <v>3217.5591124828911</v>
      </c>
      <c r="CA58" s="253">
        <f t="shared" ca="1" si="454"/>
        <v>3151.8146064785665</v>
      </c>
      <c r="CB58" s="253">
        <f t="shared" ref="CB58:CC58" si="458">CB55*CB49</f>
        <v>0</v>
      </c>
      <c r="CC58" s="253">
        <f t="shared" si="458"/>
        <v>0</v>
      </c>
      <c r="CD58" s="253">
        <f t="shared" ca="1" si="454"/>
        <v>-3145.3571366476021</v>
      </c>
      <c r="CE58" s="253">
        <f t="shared" ca="1" si="454"/>
        <v>-3093.7616344045491</v>
      </c>
      <c r="CF58" s="253">
        <f t="shared" ca="1" si="454"/>
        <v>-3035.4960190650254</v>
      </c>
      <c r="CG58" s="253">
        <f t="shared" ca="1" si="454"/>
        <v>-2970.9234699474514</v>
      </c>
      <c r="CH58" s="253">
        <f t="shared" ca="1" si="454"/>
        <v>-2909.9500421406024</v>
      </c>
      <c r="CI58" s="253">
        <f t="shared" ca="1" si="454"/>
        <v>-2853.2393051908584</v>
      </c>
      <c r="CJ58" s="253">
        <f t="shared" ref="CJ58:CK58" si="459">CJ55*CJ49</f>
        <v>0</v>
      </c>
      <c r="CK58" s="253">
        <f t="shared" si="459"/>
        <v>0</v>
      </c>
      <c r="CL58" s="253">
        <f t="shared" ca="1" si="454"/>
        <v>-70.433768851575735</v>
      </c>
      <c r="CM58" s="253">
        <f t="shared" ca="1" si="454"/>
        <v>-70.870424619107411</v>
      </c>
      <c r="CN58" s="253">
        <f t="shared" ca="1" si="454"/>
        <v>-71.09202236563624</v>
      </c>
      <c r="CO58" s="253">
        <f t="shared" ca="1" si="454"/>
        <v>-71.087202023126736</v>
      </c>
      <c r="CP58" s="253">
        <f t="shared" ca="1" si="454"/>
        <v>-70.895069815529126</v>
      </c>
      <c r="CQ58" s="253">
        <f t="shared" ca="1" si="454"/>
        <v>-70.583831303703363</v>
      </c>
      <c r="CR58" s="253">
        <f t="shared" ref="CR58:CS58" si="460">CR55*CR49</f>
        <v>0</v>
      </c>
      <c r="CS58" s="253">
        <f t="shared" si="460"/>
        <v>0</v>
      </c>
    </row>
    <row r="59" spans="1:97">
      <c r="A59" t="s">
        <v>32</v>
      </c>
      <c r="B59" s="253">
        <f ca="1">B55*B50</f>
        <v>-0.19330616411180709</v>
      </c>
      <c r="C59" s="253">
        <f t="shared" ref="C59:AS59" ca="1" si="461">C55*C50</f>
        <v>-0.19085898271738189</v>
      </c>
      <c r="D59" s="253">
        <f t="shared" ca="1" si="461"/>
        <v>-0.18752152660915375</v>
      </c>
      <c r="E59" s="253">
        <f t="shared" ca="1" si="461"/>
        <v>-0.1833424343401325</v>
      </c>
      <c r="F59" s="253">
        <f t="shared" ref="F59:G59" ca="1" si="462">F55*F50</f>
        <v>-0.17907619471235542</v>
      </c>
      <c r="G59" s="253">
        <f t="shared" ca="1" si="462"/>
        <v>-0.17490987301965116</v>
      </c>
      <c r="H59" s="253">
        <f t="shared" ref="H59:I59" si="463">H55*H50</f>
        <v>0</v>
      </c>
      <c r="I59" s="253">
        <f t="shared" si="463"/>
        <v>0</v>
      </c>
      <c r="J59" s="253">
        <f t="shared" ca="1" si="461"/>
        <v>0.17755916264830232</v>
      </c>
      <c r="K59" s="253">
        <f t="shared" ca="1" si="461"/>
        <v>0.1718613309046268</v>
      </c>
      <c r="L59" s="253">
        <f t="shared" ca="1" si="461"/>
        <v>0.16571819855386885</v>
      </c>
      <c r="M59" s="253">
        <f t="shared" ca="1" si="461"/>
        <v>0.15920820608237093</v>
      </c>
      <c r="N59" s="253">
        <f t="shared" ref="N59:O59" ca="1" si="464">N55*N50</f>
        <v>0.15330490285659751</v>
      </c>
      <c r="O59" s="253">
        <f t="shared" ca="1" si="464"/>
        <v>0.14800094173597261</v>
      </c>
      <c r="P59" s="253">
        <f t="shared" ref="P59:Q59" si="465">P55*P50</f>
        <v>0</v>
      </c>
      <c r="Q59" s="253">
        <f t="shared" si="465"/>
        <v>0</v>
      </c>
      <c r="R59" s="253">
        <f t="shared" ca="1" si="461"/>
        <v>1.9455111371752883E-2</v>
      </c>
      <c r="S59" s="253">
        <f t="shared" ca="1" si="461"/>
        <v>1.8770707784334647E-2</v>
      </c>
      <c r="T59" s="253">
        <f t="shared" ca="1" si="461"/>
        <v>1.8045449490972608E-2</v>
      </c>
      <c r="U59" s="253">
        <f t="shared" ca="1" si="461"/>
        <v>1.728809415302536E-2</v>
      </c>
      <c r="V59" s="253">
        <f t="shared" ref="V59:W59" ca="1" si="466">V55*V50</f>
        <v>1.6609498938411463E-2</v>
      </c>
      <c r="W59" s="253">
        <f t="shared" ca="1" si="466"/>
        <v>1.6005326196677438E-2</v>
      </c>
      <c r="X59" s="253">
        <f t="shared" ref="X59:Y59" si="467">X55*X50</f>
        <v>0</v>
      </c>
      <c r="Y59" s="253">
        <f t="shared" si="467"/>
        <v>0</v>
      </c>
      <c r="Z59" s="253">
        <f t="shared" ca="1" si="461"/>
        <v>-0.19818955531192012</v>
      </c>
      <c r="AA59" s="253">
        <f t="shared" ca="1" si="461"/>
        <v>-0.18946849650680481</v>
      </c>
      <c r="AB59" s="253">
        <f t="shared" ca="1" si="461"/>
        <v>-0.18071425506791303</v>
      </c>
      <c r="AC59" s="253">
        <f t="shared" ca="1" si="461"/>
        <v>-0.17199997335139047</v>
      </c>
      <c r="AD59" s="253">
        <f t="shared" ref="AD59:AE59" ca="1" si="468">AD55*AD50</f>
        <v>-0.16449429753424022</v>
      </c>
      <c r="AE59" s="253">
        <f t="shared" ca="1" si="468"/>
        <v>-0.1580151247359417</v>
      </c>
      <c r="AF59" s="253">
        <f t="shared" ref="AF59:AG59" si="469">AF55*AF50</f>
        <v>0</v>
      </c>
      <c r="AG59" s="253">
        <f t="shared" si="469"/>
        <v>0</v>
      </c>
      <c r="AH59" s="253">
        <f t="shared" ca="1" si="461"/>
        <v>0.17905131597306823</v>
      </c>
      <c r="AI59" s="253">
        <f t="shared" ca="1" si="461"/>
        <v>0.17132251706416507</v>
      </c>
      <c r="AJ59" s="253">
        <f t="shared" ca="1" si="461"/>
        <v>0.16354552552526885</v>
      </c>
      <c r="AK59" s="253">
        <f t="shared" ca="1" si="461"/>
        <v>0.15578665328573527</v>
      </c>
      <c r="AL59" s="253">
        <f t="shared" ref="AL59:AM59" ca="1" si="470">AL55*AL50</f>
        <v>0.14909161923436343</v>
      </c>
      <c r="AM59" s="253">
        <f t="shared" ca="1" si="470"/>
        <v>0.14330269134046814</v>
      </c>
      <c r="AN59" s="253">
        <f t="shared" ref="AN59:AO59" si="471">AN55*AN50</f>
        <v>0</v>
      </c>
      <c r="AO59" s="253">
        <f t="shared" si="471"/>
        <v>0</v>
      </c>
      <c r="AP59" s="253">
        <f t="shared" ca="1" si="461"/>
        <v>4.1895894027282853E-3</v>
      </c>
      <c r="AQ59" s="253">
        <f t="shared" ca="1" si="461"/>
        <v>4.0754245802426389E-3</v>
      </c>
      <c r="AR59" s="253">
        <f t="shared" ca="1" si="461"/>
        <v>3.9528183017038298E-3</v>
      </c>
      <c r="AS59" s="253">
        <f t="shared" ca="1" si="461"/>
        <v>3.8231751069569306E-3</v>
      </c>
      <c r="AT59" s="253">
        <f t="shared" ref="AT59:AU59" ca="1" si="472">AT55*AT50</f>
        <v>3.7057398882037514E-3</v>
      </c>
      <c r="AU59" s="253">
        <f t="shared" ca="1" si="472"/>
        <v>3.6001881060455355E-3</v>
      </c>
      <c r="AV59" s="253">
        <f t="shared" ref="AV59:AW59" si="473">AV55*AV50</f>
        <v>0</v>
      </c>
      <c r="AW59" s="253">
        <f t="shared" si="473"/>
        <v>0</v>
      </c>
      <c r="AX59" s="253">
        <f ca="1">AX55*AX50</f>
        <v>-0.19330616411180709</v>
      </c>
      <c r="AY59" s="253">
        <f t="shared" ref="AY59:CQ59" ca="1" si="474">AY55*AY50</f>
        <v>-0.19085898271738189</v>
      </c>
      <c r="AZ59" s="253">
        <f t="shared" ca="1" si="474"/>
        <v>-0.18752152660915375</v>
      </c>
      <c r="BA59" s="253">
        <f t="shared" ca="1" si="474"/>
        <v>-0.1833424343401325</v>
      </c>
      <c r="BB59" s="253">
        <f t="shared" ca="1" si="474"/>
        <v>-0.17907619471235542</v>
      </c>
      <c r="BC59" s="253">
        <f t="shared" ca="1" si="474"/>
        <v>-0.17490987301965116</v>
      </c>
      <c r="BD59" s="253">
        <f t="shared" ref="BD59:BE59" si="475">BD55*BD50</f>
        <v>0</v>
      </c>
      <c r="BE59" s="253">
        <f t="shared" si="475"/>
        <v>0</v>
      </c>
      <c r="BF59" s="253">
        <f t="shared" ca="1" si="474"/>
        <v>0.17755916264830232</v>
      </c>
      <c r="BG59" s="253">
        <f t="shared" ca="1" si="474"/>
        <v>0.1718613309046268</v>
      </c>
      <c r="BH59" s="253">
        <f t="shared" ca="1" si="474"/>
        <v>0.16571819855386885</v>
      </c>
      <c r="BI59" s="253">
        <f t="shared" ca="1" si="474"/>
        <v>0.15920820608237093</v>
      </c>
      <c r="BJ59" s="253">
        <f t="shared" ca="1" si="474"/>
        <v>0.15330490285659751</v>
      </c>
      <c r="BK59" s="253">
        <f t="shared" ca="1" si="474"/>
        <v>0.14800094173597261</v>
      </c>
      <c r="BL59" s="253">
        <f t="shared" ref="BL59:BM59" si="476">BL55*BL50</f>
        <v>0</v>
      </c>
      <c r="BM59" s="253">
        <f t="shared" si="476"/>
        <v>0</v>
      </c>
      <c r="BN59" s="253">
        <f t="shared" ca="1" si="474"/>
        <v>1.9455111371752883E-2</v>
      </c>
      <c r="BO59" s="253">
        <f t="shared" ca="1" si="474"/>
        <v>1.8770707784334647E-2</v>
      </c>
      <c r="BP59" s="253">
        <f t="shared" ca="1" si="474"/>
        <v>1.8045449490972608E-2</v>
      </c>
      <c r="BQ59" s="253">
        <f t="shared" ca="1" si="474"/>
        <v>1.728809415302536E-2</v>
      </c>
      <c r="BR59" s="253">
        <f t="shared" ca="1" si="474"/>
        <v>1.6609498938411463E-2</v>
      </c>
      <c r="BS59" s="253">
        <f t="shared" ca="1" si="474"/>
        <v>1.6005326196677438E-2</v>
      </c>
      <c r="BT59" s="253">
        <f t="shared" ref="BT59:BU59" si="477">BT55*BT50</f>
        <v>0</v>
      </c>
      <c r="BU59" s="253">
        <f t="shared" si="477"/>
        <v>0</v>
      </c>
      <c r="BV59" s="253">
        <f t="shared" ca="1" si="474"/>
        <v>-0.19818955531192012</v>
      </c>
      <c r="BW59" s="253">
        <f t="shared" ca="1" si="474"/>
        <v>-0.18946849650680481</v>
      </c>
      <c r="BX59" s="253">
        <f t="shared" ca="1" si="474"/>
        <v>-0.18071425506791303</v>
      </c>
      <c r="BY59" s="253">
        <f t="shared" ca="1" si="474"/>
        <v>-0.17199997335139047</v>
      </c>
      <c r="BZ59" s="253">
        <f t="shared" ca="1" si="474"/>
        <v>-0.16449429753424022</v>
      </c>
      <c r="CA59" s="253">
        <f t="shared" ca="1" si="474"/>
        <v>-0.1580151247359417</v>
      </c>
      <c r="CB59" s="253">
        <f t="shared" ref="CB59:CC59" si="478">CB55*CB50</f>
        <v>0</v>
      </c>
      <c r="CC59" s="253">
        <f t="shared" si="478"/>
        <v>0</v>
      </c>
      <c r="CD59" s="253">
        <f t="shared" ca="1" si="474"/>
        <v>0.17905131597306823</v>
      </c>
      <c r="CE59" s="253">
        <f t="shared" ca="1" si="474"/>
        <v>0.17132251706416507</v>
      </c>
      <c r="CF59" s="253">
        <f t="shared" ca="1" si="474"/>
        <v>0.16354552552526885</v>
      </c>
      <c r="CG59" s="253">
        <f t="shared" ca="1" si="474"/>
        <v>0.15578665328573527</v>
      </c>
      <c r="CH59" s="253">
        <f t="shared" ca="1" si="474"/>
        <v>0.14909161923436343</v>
      </c>
      <c r="CI59" s="253">
        <f t="shared" ca="1" si="474"/>
        <v>0.14330269134046814</v>
      </c>
      <c r="CJ59" s="253">
        <f t="shared" ref="CJ59:CK59" si="479">CJ55*CJ50</f>
        <v>0</v>
      </c>
      <c r="CK59" s="253">
        <f t="shared" si="479"/>
        <v>0</v>
      </c>
      <c r="CL59" s="253">
        <f t="shared" ca="1" si="474"/>
        <v>4.1895894027282853E-3</v>
      </c>
      <c r="CM59" s="253">
        <f t="shared" ca="1" si="474"/>
        <v>4.0754245802426389E-3</v>
      </c>
      <c r="CN59" s="253">
        <f t="shared" ca="1" si="474"/>
        <v>3.9528183017038298E-3</v>
      </c>
      <c r="CO59" s="253">
        <f t="shared" ca="1" si="474"/>
        <v>3.8231751069569306E-3</v>
      </c>
      <c r="CP59" s="253">
        <f t="shared" ca="1" si="474"/>
        <v>3.7057398882037514E-3</v>
      </c>
      <c r="CQ59" s="253">
        <f t="shared" ca="1" si="474"/>
        <v>3.6001881060455355E-3</v>
      </c>
      <c r="CR59" s="253">
        <f t="shared" ref="CR59:CS59" si="480">CR55*CR50</f>
        <v>0</v>
      </c>
      <c r="CS59" s="253">
        <f t="shared" si="480"/>
        <v>0</v>
      </c>
    </row>
    <row r="60" spans="1:97">
      <c r="A60" t="s">
        <v>26</v>
      </c>
      <c r="B60" s="21">
        <f t="shared" ref="B60:AS60" ca="1" si="481">B51*B55</f>
        <v>-74150.723566357337</v>
      </c>
      <c r="C60" s="21">
        <f t="shared" ca="1" si="481"/>
        <v>-70262.89056716449</v>
      </c>
      <c r="D60" s="21">
        <f t="shared" ca="1" si="481"/>
        <v>-66398.151325461731</v>
      </c>
      <c r="E60" s="21">
        <f t="shared" ca="1" si="481"/>
        <v>-62589.333058879245</v>
      </c>
      <c r="F60" s="21">
        <f t="shared" ref="F60:G60" ca="1" si="482">F51*F55</f>
        <v>-59340.182581030349</v>
      </c>
      <c r="G60" s="21">
        <f t="shared" ca="1" si="482"/>
        <v>-56558.403669575295</v>
      </c>
      <c r="H60" s="21">
        <f t="shared" ref="H60:I60" si="483">H51*H55</f>
        <v>0</v>
      </c>
      <c r="I60" s="21">
        <f t="shared" si="483"/>
        <v>0</v>
      </c>
      <c r="J60" s="21">
        <f t="shared" ca="1" si="481"/>
        <v>44157.053729883657</v>
      </c>
      <c r="K60" s="21">
        <f t="shared" ca="1" si="481"/>
        <v>41989.513295691031</v>
      </c>
      <c r="L60" s="21">
        <f t="shared" ca="1" si="481"/>
        <v>39844.56969168465</v>
      </c>
      <c r="M60" s="21">
        <f t="shared" ca="1" si="481"/>
        <v>37736.184968079382</v>
      </c>
      <c r="N60" s="21">
        <f t="shared" ref="N60:O60" ca="1" si="484">N51*N55</f>
        <v>35939.051262208326</v>
      </c>
      <c r="O60" s="21">
        <f t="shared" ca="1" si="484"/>
        <v>34399.60015279497</v>
      </c>
      <c r="P60" s="21">
        <f t="shared" ref="P60:Q60" si="485">P51*P55</f>
        <v>0</v>
      </c>
      <c r="Q60" s="21">
        <f t="shared" si="485"/>
        <v>0</v>
      </c>
      <c r="R60" s="21">
        <f t="shared" ca="1" si="481"/>
        <v>4418.3688175828456</v>
      </c>
      <c r="S60" s="21">
        <f t="shared" ca="1" si="481"/>
        <v>4209.0139742170622</v>
      </c>
      <c r="T60" s="21">
        <f t="shared" ca="1" si="481"/>
        <v>4001.5878942474974</v>
      </c>
      <c r="U60" s="21">
        <f t="shared" ca="1" si="481"/>
        <v>3797.3627962214377</v>
      </c>
      <c r="V60" s="21">
        <f t="shared" ref="V60:W60" ca="1" si="486">V51*V55</f>
        <v>3622.9610859765808</v>
      </c>
      <c r="W60" s="21">
        <f t="shared" ca="1" si="486"/>
        <v>3473.2872623567246</v>
      </c>
      <c r="X60" s="21">
        <f t="shared" ref="X60:Y60" si="487">X51*X55</f>
        <v>0</v>
      </c>
      <c r="Y60" s="21">
        <f t="shared" si="487"/>
        <v>0</v>
      </c>
      <c r="Z60" s="21">
        <f t="shared" ca="1" si="481"/>
        <v>12548.095607606405</v>
      </c>
      <c r="AA60" s="21">
        <f t="shared" ca="1" si="481"/>
        <v>10295.434416196043</v>
      </c>
      <c r="AB60" s="21">
        <f t="shared" ca="1" si="481"/>
        <v>8136.1401932066656</v>
      </c>
      <c r="AC60" s="21">
        <f t="shared" ca="1" si="481"/>
        <v>6092.2186432393055</v>
      </c>
      <c r="AD60" s="21">
        <f t="shared" ref="AD60:AE60" ca="1" si="488">AD51*AD55</f>
        <v>4419.7905475605858</v>
      </c>
      <c r="AE60" s="21">
        <f t="shared" ca="1" si="488"/>
        <v>3043.790768919619</v>
      </c>
      <c r="AF60" s="21">
        <f t="shared" ref="AF60:AG60" si="489">AF51*AF55</f>
        <v>0</v>
      </c>
      <c r="AG60" s="21">
        <f t="shared" si="489"/>
        <v>0</v>
      </c>
      <c r="AH60" s="21">
        <f t="shared" ca="1" si="481"/>
        <v>-12512.786024707391</v>
      </c>
      <c r="AI60" s="21">
        <f t="shared" ca="1" si="481"/>
        <v>-10413.703309624005</v>
      </c>
      <c r="AJ60" s="21">
        <f t="shared" ca="1" si="481"/>
        <v>-8395.2453614407295</v>
      </c>
      <c r="AK60" s="21">
        <f t="shared" ca="1" si="481"/>
        <v>-6478.4179720225648</v>
      </c>
      <c r="AL60" s="21">
        <f t="shared" ref="AL60:AM60" ca="1" si="490">AL51*AL55</f>
        <v>-4905.0489537835092</v>
      </c>
      <c r="AM60" s="21">
        <f t="shared" ca="1" si="490"/>
        <v>-3606.8623197590791</v>
      </c>
      <c r="AN60" s="21">
        <f t="shared" ref="AN60:AO60" si="491">AN51*AN55</f>
        <v>0</v>
      </c>
      <c r="AO60" s="21">
        <f t="shared" si="491"/>
        <v>0</v>
      </c>
      <c r="AP60" s="21">
        <f t="shared" ca="1" si="481"/>
        <v>-705.18823311513893</v>
      </c>
      <c r="AQ60" s="21">
        <f t="shared" ca="1" si="481"/>
        <v>-642.78935050107395</v>
      </c>
      <c r="AR60" s="21">
        <f t="shared" ca="1" si="481"/>
        <v>-579.56733104111447</v>
      </c>
      <c r="AS60" s="21">
        <f t="shared" ca="1" si="481"/>
        <v>-516.39700237181307</v>
      </c>
      <c r="AT60" s="21">
        <f t="shared" ref="AT60:CO60" ca="1" si="492">AT51*AT55</f>
        <v>-462.07432261660909</v>
      </c>
      <c r="AU60" s="21">
        <f t="shared" ca="1" si="492"/>
        <v>-415.42088364065705</v>
      </c>
      <c r="AV60" s="21">
        <f t="shared" ref="AV60:AW60" si="493">AV51*AV55</f>
        <v>0</v>
      </c>
      <c r="AW60" s="21">
        <f t="shared" si="493"/>
        <v>0</v>
      </c>
      <c r="AX60" s="21">
        <f t="shared" ca="1" si="492"/>
        <v>-74150.723566357337</v>
      </c>
      <c r="AY60" s="21">
        <f t="shared" ca="1" si="492"/>
        <v>-70262.89056716449</v>
      </c>
      <c r="AZ60" s="21">
        <f t="shared" ca="1" si="492"/>
        <v>-66398.151325461731</v>
      </c>
      <c r="BA60" s="21">
        <f t="shared" ca="1" si="492"/>
        <v>-62589.333058879245</v>
      </c>
      <c r="BB60" s="21">
        <f t="shared" ca="1" si="492"/>
        <v>-59340.182581030349</v>
      </c>
      <c r="BC60" s="21">
        <f t="shared" ca="1" si="492"/>
        <v>-56558.403669575295</v>
      </c>
      <c r="BD60" s="21">
        <f t="shared" ref="BD60:BE60" si="494">BD51*BD55</f>
        <v>0</v>
      </c>
      <c r="BE60" s="21">
        <f t="shared" si="494"/>
        <v>0</v>
      </c>
      <c r="BF60" s="21">
        <f t="shared" ca="1" si="492"/>
        <v>44157.053729883657</v>
      </c>
      <c r="BG60" s="21">
        <f t="shared" ca="1" si="492"/>
        <v>41989.513295691031</v>
      </c>
      <c r="BH60" s="21">
        <f t="shared" ca="1" si="492"/>
        <v>39844.56969168465</v>
      </c>
      <c r="BI60" s="21">
        <f t="shared" ca="1" si="492"/>
        <v>37736.184968079382</v>
      </c>
      <c r="BJ60" s="21">
        <f t="shared" ca="1" si="492"/>
        <v>35939.051262208326</v>
      </c>
      <c r="BK60" s="21">
        <f t="shared" ca="1" si="492"/>
        <v>34399.60015279497</v>
      </c>
      <c r="BL60" s="21">
        <f t="shared" ref="BL60:BM60" si="495">BL51*BL55</f>
        <v>0</v>
      </c>
      <c r="BM60" s="21">
        <f t="shared" si="495"/>
        <v>0</v>
      </c>
      <c r="BN60" s="21">
        <f t="shared" ca="1" si="492"/>
        <v>4418.3688175828456</v>
      </c>
      <c r="BO60" s="21">
        <f t="shared" ca="1" si="492"/>
        <v>4209.0139742170622</v>
      </c>
      <c r="BP60" s="21">
        <f t="shared" ca="1" si="492"/>
        <v>4001.5878942474974</v>
      </c>
      <c r="BQ60" s="21">
        <f t="shared" ca="1" si="492"/>
        <v>3797.3627962214377</v>
      </c>
      <c r="BR60" s="21">
        <f t="shared" ca="1" si="492"/>
        <v>3622.9610859765808</v>
      </c>
      <c r="BS60" s="21">
        <f t="shared" ca="1" si="492"/>
        <v>3473.2872623567246</v>
      </c>
      <c r="BT60" s="21">
        <f t="shared" ref="BT60:BU60" si="496">BT51*BT55</f>
        <v>0</v>
      </c>
      <c r="BU60" s="21">
        <f t="shared" si="496"/>
        <v>0</v>
      </c>
      <c r="BV60" s="21">
        <f t="shared" ca="1" si="492"/>
        <v>12548.095607606405</v>
      </c>
      <c r="BW60" s="21">
        <f t="shared" ca="1" si="492"/>
        <v>10295.434416196043</v>
      </c>
      <c r="BX60" s="21">
        <f t="shared" ca="1" si="492"/>
        <v>8136.1401932066656</v>
      </c>
      <c r="BY60" s="21">
        <f t="shared" ca="1" si="492"/>
        <v>6092.2186432393055</v>
      </c>
      <c r="BZ60" s="21">
        <f t="shared" ca="1" si="492"/>
        <v>4419.7905475605858</v>
      </c>
      <c r="CA60" s="21">
        <f t="shared" ca="1" si="492"/>
        <v>3043.790768919619</v>
      </c>
      <c r="CB60" s="21">
        <f t="shared" ref="CB60:CC60" si="497">CB51*CB55</f>
        <v>0</v>
      </c>
      <c r="CC60" s="21">
        <f t="shared" si="497"/>
        <v>0</v>
      </c>
      <c r="CD60" s="21">
        <f t="shared" ca="1" si="492"/>
        <v>-12512.786024707391</v>
      </c>
      <c r="CE60" s="21">
        <f t="shared" ca="1" si="492"/>
        <v>-10413.703309624005</v>
      </c>
      <c r="CF60" s="21">
        <f t="shared" ca="1" si="492"/>
        <v>-8395.2453614407295</v>
      </c>
      <c r="CG60" s="21">
        <f t="shared" ca="1" si="492"/>
        <v>-6478.4179720225648</v>
      </c>
      <c r="CH60" s="21">
        <f t="shared" ca="1" si="492"/>
        <v>-4905.0489537835092</v>
      </c>
      <c r="CI60" s="21">
        <f t="shared" ca="1" si="492"/>
        <v>-3606.8623197590791</v>
      </c>
      <c r="CJ60" s="21">
        <f t="shared" ref="CJ60:CK60" si="498">CJ51*CJ55</f>
        <v>0</v>
      </c>
      <c r="CK60" s="21">
        <f t="shared" si="498"/>
        <v>0</v>
      </c>
      <c r="CL60" s="21">
        <f t="shared" ca="1" si="492"/>
        <v>-705.18823311513893</v>
      </c>
      <c r="CM60" s="21">
        <f t="shared" ca="1" si="492"/>
        <v>-642.78935050107395</v>
      </c>
      <c r="CN60" s="21">
        <f t="shared" ca="1" si="492"/>
        <v>-579.56733104111447</v>
      </c>
      <c r="CO60" s="21">
        <f t="shared" ca="1" si="492"/>
        <v>-516.39700237181307</v>
      </c>
      <c r="CP60" s="21">
        <f t="shared" ref="CP60:CQ60" ca="1" si="499">CP51*CP55</f>
        <v>-462.07432261660909</v>
      </c>
      <c r="CQ60" s="21">
        <f t="shared" ca="1" si="499"/>
        <v>-415.42088364065705</v>
      </c>
      <c r="CR60" s="21">
        <f t="shared" ref="CR60:CS60" si="500">CR51*CR55</f>
        <v>0</v>
      </c>
      <c r="CS60" s="21">
        <f t="shared" si="500"/>
        <v>0</v>
      </c>
    </row>
    <row r="61" spans="1:97">
      <c r="A61" t="s">
        <v>27</v>
      </c>
      <c r="B61" s="21">
        <f t="shared" ref="B61:AS61" ca="1" si="501">B55*B52</f>
        <v>-5663779.070288334</v>
      </c>
      <c r="C61" s="21">
        <f t="shared" ca="1" si="501"/>
        <v>-5948769.8192044506</v>
      </c>
      <c r="D61" s="21">
        <f t="shared" ca="1" si="501"/>
        <v>-6225345.637862321</v>
      </c>
      <c r="E61" s="21">
        <f t="shared" ca="1" si="501"/>
        <v>-6488400.3434892725</v>
      </c>
      <c r="F61" s="21">
        <f t="shared" ref="F61:G61" ca="1" si="502">F55*F52</f>
        <v>-6702772.7101152092</v>
      </c>
      <c r="G61" s="21">
        <f t="shared" ca="1" si="502"/>
        <v>-6877027.7347158752</v>
      </c>
      <c r="H61" s="21">
        <f t="shared" ref="H61:I61" si="503">H55*H52</f>
        <v>0</v>
      </c>
      <c r="I61" s="21">
        <f t="shared" si="503"/>
        <v>0</v>
      </c>
      <c r="J61" s="21">
        <f t="shared" ca="1" si="501"/>
        <v>5391420.9363767933</v>
      </c>
      <c r="K61" s="21">
        <f t="shared" ca="1" si="501"/>
        <v>5558683.06760835</v>
      </c>
      <c r="L61" s="21">
        <f t="shared" ca="1" si="501"/>
        <v>5716190.6974719446</v>
      </c>
      <c r="M61" s="21">
        <f t="shared" ca="1" si="501"/>
        <v>5860969.7665528189</v>
      </c>
      <c r="N61" s="21">
        <f t="shared" ref="N61:O61" ca="1" si="504">N55*N52</f>
        <v>5974625.2103459006</v>
      </c>
      <c r="O61" s="21">
        <f t="shared" ca="1" si="504"/>
        <v>6063468.0371470442</v>
      </c>
      <c r="P61" s="21">
        <f t="shared" ref="P61:Q61" si="505">P55*P52</f>
        <v>0</v>
      </c>
      <c r="Q61" s="21">
        <f t="shared" si="505"/>
        <v>0</v>
      </c>
      <c r="R61" s="21">
        <f t="shared" ca="1" si="501"/>
        <v>596287.70908121578</v>
      </c>
      <c r="S61" s="21">
        <f t="shared" ca="1" si="501"/>
        <v>612951.05344576889</v>
      </c>
      <c r="T61" s="21">
        <f t="shared" ca="1" si="501"/>
        <v>628548.65115452069</v>
      </c>
      <c r="U61" s="21">
        <f t="shared" ca="1" si="501"/>
        <v>642781.72642428381</v>
      </c>
      <c r="V61" s="21">
        <f t="shared" ref="V61:W61" ca="1" si="506">V55*V52</f>
        <v>653859.68542767933</v>
      </c>
      <c r="W61" s="21">
        <f t="shared" ca="1" si="506"/>
        <v>662436.06273142598</v>
      </c>
      <c r="X61" s="21">
        <f t="shared" ref="X61:Y61" si="507">X55*X52</f>
        <v>0</v>
      </c>
      <c r="Y61" s="21">
        <f t="shared" si="507"/>
        <v>0</v>
      </c>
      <c r="Z61" s="21">
        <f t="shared" ca="1" si="501"/>
        <v>-8311153.9195366781</v>
      </c>
      <c r="AA61" s="21">
        <f t="shared" ca="1" si="501"/>
        <v>-8469373.0466940217</v>
      </c>
      <c r="AB61" s="21">
        <f t="shared" ca="1" si="501"/>
        <v>-8619813.7121289205</v>
      </c>
      <c r="AC61" s="21">
        <f t="shared" ca="1" si="501"/>
        <v>-8759888.1739262231</v>
      </c>
      <c r="AD61" s="21">
        <f t="shared" ref="AD61:AE61" ca="1" si="508">AD55*AD52</f>
        <v>-8871590.7232723311</v>
      </c>
      <c r="AE61" s="21">
        <f t="shared" ca="1" si="508"/>
        <v>-8960455.1288765613</v>
      </c>
      <c r="AF61" s="21">
        <f t="shared" ref="AF61:AG61" si="509">AF55*AF52</f>
        <v>0</v>
      </c>
      <c r="AG61" s="21">
        <f t="shared" si="509"/>
        <v>0</v>
      </c>
      <c r="AH61" s="21">
        <f t="shared" ca="1" si="501"/>
        <v>7578895.8909910629</v>
      </c>
      <c r="AI61" s="21">
        <f t="shared" ca="1" si="501"/>
        <v>7729587.3286463581</v>
      </c>
      <c r="AJ61" s="21">
        <f t="shared" ca="1" si="501"/>
        <v>7873229.1688064393</v>
      </c>
      <c r="AK61" s="21">
        <f t="shared" ca="1" si="501"/>
        <v>8007402.5145334909</v>
      </c>
      <c r="AL61" s="21">
        <f t="shared" ref="AL61:AM61" ca="1" si="510">AL55*AL52</f>
        <v>8114815.5523623321</v>
      </c>
      <c r="AM61" s="21">
        <f t="shared" ca="1" si="510"/>
        <v>8200643.5643575201</v>
      </c>
      <c r="AN61" s="21">
        <f t="shared" ref="AN61:AO61" si="511">AN55*AN52</f>
        <v>0</v>
      </c>
      <c r="AO61" s="21">
        <f t="shared" si="511"/>
        <v>0</v>
      </c>
      <c r="AP61" s="21">
        <f t="shared" ca="1" si="501"/>
        <v>202262.11425980501</v>
      </c>
      <c r="AQ61" s="21">
        <f t="shared" ca="1" si="501"/>
        <v>209559.80999155744</v>
      </c>
      <c r="AR61" s="21">
        <f t="shared" ca="1" si="501"/>
        <v>216721.55263147622</v>
      </c>
      <c r="AS61" s="21">
        <f t="shared" ca="1" si="501"/>
        <v>223647.60043361186</v>
      </c>
      <c r="AT61" s="21">
        <f t="shared" ref="AT61:CO61" ca="1" si="512">AT55*AT52</f>
        <v>229414.58486689348</v>
      </c>
      <c r="AU61" s="21">
        <f t="shared" ca="1" si="512"/>
        <v>234218.78706505231</v>
      </c>
      <c r="AV61" s="21">
        <f t="shared" ref="AV61:AW61" si="513">AV55*AV52</f>
        <v>0</v>
      </c>
      <c r="AW61" s="21">
        <f t="shared" si="513"/>
        <v>0</v>
      </c>
      <c r="AX61" s="21">
        <f t="shared" ca="1" si="512"/>
        <v>-5663779.070288334</v>
      </c>
      <c r="AY61" s="21">
        <f t="shared" ca="1" si="512"/>
        <v>-5948769.8192044506</v>
      </c>
      <c r="AZ61" s="21">
        <f t="shared" ca="1" si="512"/>
        <v>-6225345.637862321</v>
      </c>
      <c r="BA61" s="21">
        <f t="shared" ca="1" si="512"/>
        <v>-6488400.3434892725</v>
      </c>
      <c r="BB61" s="21">
        <f t="shared" ca="1" si="512"/>
        <v>-6702772.7101152092</v>
      </c>
      <c r="BC61" s="21">
        <f t="shared" ca="1" si="512"/>
        <v>-6877027.7347158752</v>
      </c>
      <c r="BD61" s="21">
        <f t="shared" ref="BD61:BE61" si="514">BD55*BD52</f>
        <v>0</v>
      </c>
      <c r="BE61" s="21">
        <f t="shared" si="514"/>
        <v>0</v>
      </c>
      <c r="BF61" s="21">
        <f t="shared" ca="1" si="512"/>
        <v>5391420.9363767933</v>
      </c>
      <c r="BG61" s="21">
        <f t="shared" ca="1" si="512"/>
        <v>5558683.06760835</v>
      </c>
      <c r="BH61" s="21">
        <f t="shared" ca="1" si="512"/>
        <v>5716190.6974719446</v>
      </c>
      <c r="BI61" s="21">
        <f t="shared" ca="1" si="512"/>
        <v>5860969.7665528189</v>
      </c>
      <c r="BJ61" s="21">
        <f t="shared" ca="1" si="512"/>
        <v>5974625.2103459006</v>
      </c>
      <c r="BK61" s="21">
        <f t="shared" ca="1" si="512"/>
        <v>6063468.0371470442</v>
      </c>
      <c r="BL61" s="21">
        <f t="shared" ref="BL61:BM61" si="515">BL55*BL52</f>
        <v>0</v>
      </c>
      <c r="BM61" s="21">
        <f t="shared" si="515"/>
        <v>0</v>
      </c>
      <c r="BN61" s="21">
        <f t="shared" ca="1" si="512"/>
        <v>596287.70908121578</v>
      </c>
      <c r="BO61" s="21">
        <f t="shared" ca="1" si="512"/>
        <v>612951.05344576889</v>
      </c>
      <c r="BP61" s="21">
        <f t="shared" ca="1" si="512"/>
        <v>628548.65115452069</v>
      </c>
      <c r="BQ61" s="21">
        <f t="shared" ca="1" si="512"/>
        <v>642781.72642428381</v>
      </c>
      <c r="BR61" s="21">
        <f t="shared" ca="1" si="512"/>
        <v>653859.68542767933</v>
      </c>
      <c r="BS61" s="21">
        <f t="shared" ca="1" si="512"/>
        <v>662436.06273142598</v>
      </c>
      <c r="BT61" s="21">
        <f t="shared" ref="BT61:BU61" si="516">BT55*BT52</f>
        <v>0</v>
      </c>
      <c r="BU61" s="21">
        <f t="shared" si="516"/>
        <v>0</v>
      </c>
      <c r="BV61" s="21">
        <f t="shared" ca="1" si="512"/>
        <v>-8311153.9195366781</v>
      </c>
      <c r="BW61" s="21">
        <f t="shared" ca="1" si="512"/>
        <v>-8469373.0466940217</v>
      </c>
      <c r="BX61" s="21">
        <f t="shared" ca="1" si="512"/>
        <v>-8619813.7121289205</v>
      </c>
      <c r="BY61" s="21">
        <f t="shared" ca="1" si="512"/>
        <v>-8759888.1739262231</v>
      </c>
      <c r="BZ61" s="21">
        <f t="shared" ca="1" si="512"/>
        <v>-8871590.7232723311</v>
      </c>
      <c r="CA61" s="21">
        <f t="shared" ca="1" si="512"/>
        <v>-8960455.1288765613</v>
      </c>
      <c r="CB61" s="21">
        <f t="shared" ref="CB61:CC61" si="517">CB55*CB52</f>
        <v>0</v>
      </c>
      <c r="CC61" s="21">
        <f t="shared" si="517"/>
        <v>0</v>
      </c>
      <c r="CD61" s="21">
        <f t="shared" ca="1" si="512"/>
        <v>7578895.8909910629</v>
      </c>
      <c r="CE61" s="21">
        <f t="shared" ca="1" si="512"/>
        <v>7729587.3286463581</v>
      </c>
      <c r="CF61" s="21">
        <f t="shared" ca="1" si="512"/>
        <v>7873229.1688064393</v>
      </c>
      <c r="CG61" s="21">
        <f t="shared" ca="1" si="512"/>
        <v>8007402.5145334909</v>
      </c>
      <c r="CH61" s="21">
        <f t="shared" ca="1" si="512"/>
        <v>8114815.5523623321</v>
      </c>
      <c r="CI61" s="21">
        <f t="shared" ca="1" si="512"/>
        <v>8200643.5643575201</v>
      </c>
      <c r="CJ61" s="21">
        <f t="shared" ref="CJ61:CK61" si="518">CJ55*CJ52</f>
        <v>0</v>
      </c>
      <c r="CK61" s="21">
        <f t="shared" si="518"/>
        <v>0</v>
      </c>
      <c r="CL61" s="21">
        <f t="shared" ca="1" si="512"/>
        <v>202262.11425980501</v>
      </c>
      <c r="CM61" s="21">
        <f t="shared" ca="1" si="512"/>
        <v>209559.80999155744</v>
      </c>
      <c r="CN61" s="21">
        <f t="shared" ca="1" si="512"/>
        <v>216721.55263147622</v>
      </c>
      <c r="CO61" s="21">
        <f t="shared" ca="1" si="512"/>
        <v>223647.60043361186</v>
      </c>
      <c r="CP61" s="21">
        <f t="shared" ref="CP61:CQ61" ca="1" si="519">CP55*CP52</f>
        <v>229414.58486689348</v>
      </c>
      <c r="CQ61" s="21">
        <f t="shared" ca="1" si="519"/>
        <v>234218.78706505231</v>
      </c>
      <c r="CR61" s="21">
        <f t="shared" ref="CR61:CS61" si="520">CR55*CR52</f>
        <v>0</v>
      </c>
      <c r="CS61" s="21">
        <f t="shared" si="520"/>
        <v>0</v>
      </c>
    </row>
    <row r="62" spans="1:97">
      <c r="A62" t="s">
        <v>28</v>
      </c>
      <c r="B62" s="21">
        <f ca="1">B53*B55</f>
        <v>22313498.98498648</v>
      </c>
      <c r="C62" s="21">
        <f t="shared" ref="C62:AS62" ca="1" si="521">C53*C55</f>
        <v>22719667.393547747</v>
      </c>
      <c r="D62" s="21">
        <f t="shared" ca="1" si="521"/>
        <v>23077972.151180066</v>
      </c>
      <c r="E62" s="21">
        <f t="shared" ca="1" si="521"/>
        <v>23378419.50498211</v>
      </c>
      <c r="F62" s="21">
        <f t="shared" ref="F62:G62" ca="1" si="522">F53*F55</f>
        <v>23586248.46992163</v>
      </c>
      <c r="G62" s="21">
        <f t="shared" ca="1" si="522"/>
        <v>23723347.908997476</v>
      </c>
      <c r="H62" s="21">
        <f t="shared" ref="H62:I62" si="523">H53*H55</f>
        <v>0</v>
      </c>
      <c r="I62" s="21">
        <f t="shared" si="523"/>
        <v>0</v>
      </c>
      <c r="J62" s="21">
        <f t="shared" ca="1" si="521"/>
        <v>-15875504.546479331</v>
      </c>
      <c r="K62" s="21">
        <f t="shared" ca="1" si="521"/>
        <v>-16137501.315324882</v>
      </c>
      <c r="L62" s="21">
        <f t="shared" ca="1" si="521"/>
        <v>-16370162.319050133</v>
      </c>
      <c r="M62" s="21">
        <f t="shared" ca="1" si="521"/>
        <v>-16567158.897185145</v>
      </c>
      <c r="N62" s="21">
        <f t="shared" ref="N62:O62" ca="1" si="524">N53*N55</f>
        <v>-16705358.965306878</v>
      </c>
      <c r="O62" s="21">
        <f t="shared" ca="1" si="524"/>
        <v>-16798412.306475494</v>
      </c>
      <c r="P62" s="21">
        <f t="shared" ref="P62:Q62" si="525">P53*P55</f>
        <v>0</v>
      </c>
      <c r="Q62" s="21">
        <f t="shared" si="525"/>
        <v>0</v>
      </c>
      <c r="R62" s="21">
        <f t="shared" ca="1" si="521"/>
        <v>-1663596.9133245351</v>
      </c>
      <c r="S62" s="21">
        <f t="shared" ca="1" si="521"/>
        <v>-1691106.9419836376</v>
      </c>
      <c r="T62" s="21">
        <f t="shared" ca="1" si="521"/>
        <v>-1715667.3352874615</v>
      </c>
      <c r="U62" s="21">
        <f t="shared" ca="1" si="521"/>
        <v>-1736621.1933649981</v>
      </c>
      <c r="V62" s="21">
        <f t="shared" ref="V62:W62" ca="1" si="526">V53*V55</f>
        <v>-1751481.4872079981</v>
      </c>
      <c r="W62" s="21">
        <f t="shared" ca="1" si="526"/>
        <v>-1761645.0837981415</v>
      </c>
      <c r="X62" s="21">
        <f t="shared" ref="X62:Y62" si="527">X53*X55</f>
        <v>0</v>
      </c>
      <c r="Y62" s="21">
        <f t="shared" si="527"/>
        <v>0</v>
      </c>
      <c r="Z62" s="21">
        <f t="shared" ca="1" si="521"/>
        <v>10595860.967473604</v>
      </c>
      <c r="AA62" s="21">
        <f t="shared" ca="1" si="521"/>
        <v>11127960.00779062</v>
      </c>
      <c r="AB62" s="21">
        <f t="shared" ca="1" si="521"/>
        <v>11670123.164672453</v>
      </c>
      <c r="AC62" s="21">
        <f t="shared" ca="1" si="521"/>
        <v>12215544.228945144</v>
      </c>
      <c r="AD62" s="21">
        <f t="shared" ref="AD62:AE62" ca="1" si="528">AD53*AD55</f>
        <v>12687678.007801063</v>
      </c>
      <c r="AE62" s="21">
        <f t="shared" ca="1" si="528"/>
        <v>13095296.378273958</v>
      </c>
      <c r="AF62" s="21">
        <f t="shared" ref="AF62:AG62" si="529">AF53*AF55</f>
        <v>0</v>
      </c>
      <c r="AG62" s="21">
        <f t="shared" si="529"/>
        <v>0</v>
      </c>
      <c r="AH62" s="21">
        <f t="shared" ca="1" si="521"/>
        <v>-9529283.8842780124</v>
      </c>
      <c r="AI62" s="21">
        <f t="shared" ca="1" si="521"/>
        <v>-10022918.077449296</v>
      </c>
      <c r="AJ62" s="21">
        <f t="shared" ca="1" si="521"/>
        <v>-10526880.412032425</v>
      </c>
      <c r="AK62" s="21">
        <f t="shared" ca="1" si="521"/>
        <v>-11034950.034196513</v>
      </c>
      <c r="AL62" s="21">
        <f t="shared" ref="AL62:AM62" ca="1" si="530">AL53*AL55</f>
        <v>-11475699.318806715</v>
      </c>
      <c r="AM62" s="21">
        <f t="shared" ca="1" si="530"/>
        <v>-11856997.849137278</v>
      </c>
      <c r="AN62" s="21">
        <f t="shared" ref="AN62:AO62" si="531">AN53*AN55</f>
        <v>0</v>
      </c>
      <c r="AO62" s="21">
        <f t="shared" si="531"/>
        <v>0</v>
      </c>
      <c r="AP62" s="21">
        <f t="shared" ca="1" si="521"/>
        <v>-212799.23218483542</v>
      </c>
      <c r="AQ62" s="21">
        <f t="shared" ca="1" si="521"/>
        <v>-229296.33183031157</v>
      </c>
      <c r="AR62" s="21">
        <f t="shared" ca="1" si="521"/>
        <v>-246594.54671640898</v>
      </c>
      <c r="AS62" s="21">
        <f t="shared" ca="1" si="521"/>
        <v>-264527.21978883387</v>
      </c>
      <c r="AT62" s="21">
        <f t="shared" ref="AT62:AU62" ca="1" si="532">AT53*AT55</f>
        <v>-280514.91292659304</v>
      </c>
      <c r="AU62" s="21">
        <f t="shared" ca="1" si="532"/>
        <v>-294696.99675561552</v>
      </c>
      <c r="AV62" s="21">
        <f t="shared" ref="AV62:AW62" si="533">AV53*AV55</f>
        <v>0</v>
      </c>
      <c r="AW62" s="21">
        <f t="shared" si="533"/>
        <v>0</v>
      </c>
      <c r="AX62" s="21">
        <f ca="1">AX53*AX55</f>
        <v>22313498.98498648</v>
      </c>
      <c r="AY62" s="21">
        <f t="shared" ref="AY62:CQ62" ca="1" si="534">AY53*AY55</f>
        <v>22719667.393547747</v>
      </c>
      <c r="AZ62" s="21">
        <f t="shared" ca="1" si="534"/>
        <v>23077972.151180066</v>
      </c>
      <c r="BA62" s="21">
        <f t="shared" ca="1" si="534"/>
        <v>23378419.50498211</v>
      </c>
      <c r="BB62" s="21">
        <f t="shared" ca="1" si="534"/>
        <v>23586248.46992163</v>
      </c>
      <c r="BC62" s="21">
        <f t="shared" ca="1" si="534"/>
        <v>23723347.908997476</v>
      </c>
      <c r="BD62" s="21">
        <f t="shared" ref="BD62:BE62" si="535">BD53*BD55</f>
        <v>0</v>
      </c>
      <c r="BE62" s="21">
        <f t="shared" si="535"/>
        <v>0</v>
      </c>
      <c r="BF62" s="21">
        <f t="shared" ca="1" si="534"/>
        <v>-15875504.546479331</v>
      </c>
      <c r="BG62" s="21">
        <f t="shared" ca="1" si="534"/>
        <v>-16137501.315324882</v>
      </c>
      <c r="BH62" s="21">
        <f t="shared" ca="1" si="534"/>
        <v>-16370162.319050133</v>
      </c>
      <c r="BI62" s="21">
        <f t="shared" ca="1" si="534"/>
        <v>-16567158.897185145</v>
      </c>
      <c r="BJ62" s="21">
        <f t="shared" ca="1" si="534"/>
        <v>-16705358.965306878</v>
      </c>
      <c r="BK62" s="21">
        <f t="shared" ca="1" si="534"/>
        <v>-16798412.306475494</v>
      </c>
      <c r="BL62" s="21">
        <f t="shared" ref="BL62:BM62" si="536">BL53*BL55</f>
        <v>0</v>
      </c>
      <c r="BM62" s="21">
        <f t="shared" si="536"/>
        <v>0</v>
      </c>
      <c r="BN62" s="21">
        <f t="shared" ca="1" si="534"/>
        <v>-1663596.9133245351</v>
      </c>
      <c r="BO62" s="21">
        <f t="shared" ca="1" si="534"/>
        <v>-1691106.9419836376</v>
      </c>
      <c r="BP62" s="21">
        <f t="shared" ca="1" si="534"/>
        <v>-1715667.3352874615</v>
      </c>
      <c r="BQ62" s="21">
        <f t="shared" ca="1" si="534"/>
        <v>-1736621.1933649981</v>
      </c>
      <c r="BR62" s="21">
        <f t="shared" ca="1" si="534"/>
        <v>-1751481.4872079981</v>
      </c>
      <c r="BS62" s="21">
        <f t="shared" ca="1" si="534"/>
        <v>-1761645.0837981415</v>
      </c>
      <c r="BT62" s="21">
        <f t="shared" ref="BT62:BU62" si="537">BT53*BT55</f>
        <v>0</v>
      </c>
      <c r="BU62" s="21">
        <f t="shared" si="537"/>
        <v>0</v>
      </c>
      <c r="BV62" s="21">
        <f t="shared" ca="1" si="534"/>
        <v>10595860.967473604</v>
      </c>
      <c r="BW62" s="21">
        <f t="shared" ca="1" si="534"/>
        <v>11127960.00779062</v>
      </c>
      <c r="BX62" s="21">
        <f t="shared" ca="1" si="534"/>
        <v>11670123.164672453</v>
      </c>
      <c r="BY62" s="21">
        <f t="shared" ca="1" si="534"/>
        <v>12215544.228945144</v>
      </c>
      <c r="BZ62" s="21">
        <f t="shared" ca="1" si="534"/>
        <v>12687678.007801063</v>
      </c>
      <c r="CA62" s="21">
        <f t="shared" ca="1" si="534"/>
        <v>13095296.378273958</v>
      </c>
      <c r="CB62" s="21">
        <f t="shared" ref="CB62:CC62" si="538">CB53*CB55</f>
        <v>0</v>
      </c>
      <c r="CC62" s="21">
        <f t="shared" si="538"/>
        <v>0</v>
      </c>
      <c r="CD62" s="21">
        <f t="shared" ca="1" si="534"/>
        <v>-9529283.8842780124</v>
      </c>
      <c r="CE62" s="21">
        <f t="shared" ca="1" si="534"/>
        <v>-10022918.077449296</v>
      </c>
      <c r="CF62" s="21">
        <f t="shared" ca="1" si="534"/>
        <v>-10526880.412032425</v>
      </c>
      <c r="CG62" s="21">
        <f t="shared" ca="1" si="534"/>
        <v>-11034950.034196513</v>
      </c>
      <c r="CH62" s="21">
        <f t="shared" ca="1" si="534"/>
        <v>-11475699.318806715</v>
      </c>
      <c r="CI62" s="21">
        <f t="shared" ca="1" si="534"/>
        <v>-11856997.849137278</v>
      </c>
      <c r="CJ62" s="21">
        <f t="shared" ref="CJ62:CK62" si="539">CJ53*CJ55</f>
        <v>0</v>
      </c>
      <c r="CK62" s="21">
        <f t="shared" si="539"/>
        <v>0</v>
      </c>
      <c r="CL62" s="21">
        <f t="shared" ca="1" si="534"/>
        <v>-212799.23218483542</v>
      </c>
      <c r="CM62" s="21">
        <f t="shared" ca="1" si="534"/>
        <v>-229296.33183031157</v>
      </c>
      <c r="CN62" s="21">
        <f t="shared" ca="1" si="534"/>
        <v>-246594.54671640898</v>
      </c>
      <c r="CO62" s="21">
        <f t="shared" ca="1" si="534"/>
        <v>-264527.21978883387</v>
      </c>
      <c r="CP62" s="21">
        <f t="shared" ca="1" si="534"/>
        <v>-280514.91292659304</v>
      </c>
      <c r="CQ62" s="21">
        <f t="shared" ca="1" si="534"/>
        <v>-294696.99675561552</v>
      </c>
      <c r="CR62" s="21">
        <f t="shared" ref="CR62:CS62" si="540">CR53*CR55</f>
        <v>0</v>
      </c>
      <c r="CS62" s="21">
        <f t="shared" si="540"/>
        <v>0</v>
      </c>
    </row>
    <row r="63" spans="1:97">
      <c r="B63" s="6"/>
      <c r="AL63" s="1">
        <f ca="1">SUMPRODUCT(AX32:CG32,AX61:CG61)/SUM(AX61:CG61)</f>
        <v>0.18625858825619054</v>
      </c>
    </row>
    <row r="64" spans="1:97" ht="16.899999999999999">
      <c r="A64" s="18"/>
      <c r="B64" s="303">
        <f ca="1">B56*2</f>
        <v>311869299.56320709</v>
      </c>
      <c r="C64" s="303">
        <f t="shared" ref="C64:AV64" ca="1" si="541">C56*2</f>
        <v>299747042.43507189</v>
      </c>
      <c r="D64" s="303">
        <f t="shared" ca="1" si="541"/>
        <v>287319879.4913823</v>
      </c>
      <c r="E64" s="303">
        <f t="shared" ca="1" si="541"/>
        <v>274688505.03041571</v>
      </c>
      <c r="F64" s="303">
        <f t="shared" ca="1" si="541"/>
        <v>263600098.59902915</v>
      </c>
      <c r="G64" s="303">
        <f t="shared" ca="1" si="541"/>
        <v>253870154.33687127</v>
      </c>
      <c r="H64" s="303">
        <f t="shared" si="541"/>
        <v>0</v>
      </c>
      <c r="I64" s="303">
        <f t="shared" si="541"/>
        <v>0</v>
      </c>
      <c r="J64" s="303">
        <f t="shared" ca="1" si="541"/>
        <v>-205284531.71824297</v>
      </c>
      <c r="K64" s="303">
        <f t="shared" ca="1" si="541"/>
        <v>-198053117.8267194</v>
      </c>
      <c r="L64" s="303">
        <f t="shared" ca="1" si="541"/>
        <v>-190611322.54651049</v>
      </c>
      <c r="M64" s="303">
        <f t="shared" ca="1" si="541"/>
        <v>-183013669.20214871</v>
      </c>
      <c r="N64" s="303">
        <f t="shared" ca="1" si="541"/>
        <v>-176313193.98187569</v>
      </c>
      <c r="O64" s="303">
        <f t="shared" ca="1" si="541"/>
        <v>-170407789.39090425</v>
      </c>
      <c r="P64" s="303">
        <f t="shared" si="541"/>
        <v>0</v>
      </c>
      <c r="Q64" s="303">
        <f t="shared" si="541"/>
        <v>0</v>
      </c>
      <c r="R64" s="303">
        <f t="shared" ca="1" si="541"/>
        <v>-21216139.555480644</v>
      </c>
      <c r="S64" s="303">
        <f t="shared" ca="1" si="541"/>
        <v>-20491909.504473023</v>
      </c>
      <c r="T64" s="303">
        <f t="shared" ca="1" si="541"/>
        <v>-19745234.006128296</v>
      </c>
      <c r="U64" s="303">
        <f t="shared" ca="1" si="541"/>
        <v>-18981440.279490031</v>
      </c>
      <c r="V64" s="303">
        <f t="shared" ca="1" si="541"/>
        <v>-18306571.221664459</v>
      </c>
      <c r="W64" s="303">
        <f t="shared" ca="1" si="541"/>
        <v>-17710778.290461142</v>
      </c>
      <c r="X64" s="303">
        <f t="shared" si="541"/>
        <v>0</v>
      </c>
      <c r="Y64" s="303">
        <f t="shared" si="541"/>
        <v>0</v>
      </c>
      <c r="Z64" s="303">
        <f t="shared" ca="1" si="541"/>
        <v>119519685.67988466</v>
      </c>
      <c r="AA64" s="303">
        <f t="shared" ca="1" si="541"/>
        <v>121432535.94746737</v>
      </c>
      <c r="AB64" s="303">
        <f t="shared" ca="1" si="541"/>
        <v>123103530.86401062</v>
      </c>
      <c r="AC64" s="303">
        <f t="shared" ca="1" si="541"/>
        <v>124491448.60585892</v>
      </c>
      <c r="AD64" s="303">
        <f t="shared" ca="1" si="541"/>
        <v>125443313.81225362</v>
      </c>
      <c r="AE64" s="303">
        <f t="shared" ca="1" si="541"/>
        <v>126066769.73616077</v>
      </c>
      <c r="AF64" s="303">
        <f t="shared" si="541"/>
        <v>0</v>
      </c>
      <c r="AG64" s="303">
        <f t="shared" si="541"/>
        <v>0</v>
      </c>
      <c r="AH64" s="303">
        <f t="shared" ca="1" si="541"/>
        <v>-107454911.15350479</v>
      </c>
      <c r="AI64" s="303">
        <f t="shared" ca="1" si="541"/>
        <v>-109375231.45346387</v>
      </c>
      <c r="AJ64" s="303">
        <f t="shared" ca="1" si="541"/>
        <v>-111081074.98321632</v>
      </c>
      <c r="AK64" s="303">
        <f t="shared" ca="1" si="541"/>
        <v>-112532737.64448448</v>
      </c>
      <c r="AL64" s="303">
        <f t="shared" ca="1" si="541"/>
        <v>-113564256.52389753</v>
      </c>
      <c r="AM64" s="303">
        <f t="shared" ca="1" si="541"/>
        <v>-114276018.42717318</v>
      </c>
      <c r="AN64" s="303">
        <f t="shared" si="541"/>
        <v>0</v>
      </c>
      <c r="AO64" s="303">
        <f t="shared" si="541"/>
        <v>0</v>
      </c>
      <c r="AP64" s="303">
        <f t="shared" ca="1" si="541"/>
        <v>-2403472.4861242748</v>
      </c>
      <c r="AQ64" s="303">
        <f t="shared" ca="1" si="541"/>
        <v>-2516585.3294996815</v>
      </c>
      <c r="AR64" s="303">
        <f t="shared" ca="1" si="541"/>
        <v>-2627688.4517931053</v>
      </c>
      <c r="AS64" s="303">
        <f t="shared" ca="1" si="541"/>
        <v>-2734948.4826516048</v>
      </c>
      <c r="AT64" s="303">
        <f t="shared" ca="1" si="541"/>
        <v>-2823873.6238772953</v>
      </c>
      <c r="AU64" s="303">
        <f t="shared" ca="1" si="541"/>
        <v>-2897491.1173717165</v>
      </c>
      <c r="AV64" s="303">
        <f t="shared" si="541"/>
        <v>0</v>
      </c>
    </row>
    <row r="65" spans="1:21" ht="16.899999999999999">
      <c r="A65" s="18"/>
      <c r="B65" s="48"/>
      <c r="C65" s="48"/>
      <c r="D65" s="48"/>
      <c r="E65" s="48"/>
      <c r="F65" s="48"/>
      <c r="G65" s="48"/>
      <c r="H65" s="49"/>
      <c r="I65" s="49"/>
      <c r="J65" s="49"/>
      <c r="K65" s="49"/>
      <c r="L65" s="49"/>
      <c r="M65" s="49"/>
      <c r="N65" s="18"/>
      <c r="O65" s="18"/>
      <c r="P65" s="18"/>
      <c r="Q65" s="18"/>
      <c r="R65" s="18"/>
      <c r="S65" s="18"/>
      <c r="T65" s="18"/>
      <c r="U65" s="18"/>
    </row>
  </sheetData>
  <conditionalFormatting sqref="B1:B2">
    <cfRule type="expression" dxfId="2" priority="21">
      <formula>#REF!&lt;0</formula>
    </cfRule>
    <cfRule type="expression" dxfId="1" priority="22">
      <formula>#REF!&gt;0</formula>
    </cfRule>
  </conditionalFormatting>
  <pageMargins left="0" right="0" top="0" bottom="0" header="0.31496062992125984" footer="0.31496062992125984"/>
  <pageSetup paperSize="9" scale="30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3:E37"/>
  <sheetViews>
    <sheetView workbookViewId="0">
      <selection activeCell="B17" sqref="B17"/>
    </sheetView>
  </sheetViews>
  <sheetFormatPr defaultRowHeight="14.25"/>
  <cols>
    <col min="1" max="1" width="14" customWidth="1"/>
    <col min="2" max="2" width="16" customWidth="1"/>
    <col min="3" max="3" width="8.3984375" customWidth="1"/>
    <col min="4" max="4" width="16" bestFit="1" customWidth="1"/>
    <col min="5" max="5" width="15.59765625" bestFit="1" customWidth="1"/>
  </cols>
  <sheetData>
    <row r="3" spans="1:5">
      <c r="D3" s="43" t="s">
        <v>98</v>
      </c>
    </row>
    <row r="4" spans="1:5">
      <c r="A4" s="43" t="s">
        <v>96</v>
      </c>
      <c r="B4" s="43" t="s">
        <v>5</v>
      </c>
      <c r="C4" s="43" t="s">
        <v>4</v>
      </c>
      <c r="D4" t="s">
        <v>97</v>
      </c>
      <c r="E4" t="s">
        <v>99</v>
      </c>
    </row>
    <row r="5" spans="1:5">
      <c r="A5" t="s">
        <v>29</v>
      </c>
      <c r="B5" s="3">
        <v>44861</v>
      </c>
      <c r="C5" s="24">
        <v>12720</v>
      </c>
      <c r="D5" s="15">
        <v>-6578.6458333333321</v>
      </c>
      <c r="E5" s="15">
        <v>939.90330355429023</v>
      </c>
    </row>
    <row r="6" spans="1:5">
      <c r="A6" t="s">
        <v>29</v>
      </c>
      <c r="B6" s="3">
        <v>44861</v>
      </c>
      <c r="C6" s="24">
        <v>5779</v>
      </c>
      <c r="D6" s="15">
        <v>6578.6458333333321</v>
      </c>
      <c r="E6" s="15">
        <v>24.219702478419475</v>
      </c>
    </row>
    <row r="7" spans="1:5">
      <c r="A7" t="s">
        <v>29</v>
      </c>
      <c r="B7" s="3">
        <v>44889</v>
      </c>
      <c r="C7" s="24">
        <v>12720</v>
      </c>
      <c r="D7" s="15">
        <v>-6578.6458333333321</v>
      </c>
      <c r="E7" s="15">
        <v>937.97056962809222</v>
      </c>
    </row>
    <row r="8" spans="1:5">
      <c r="A8" t="s">
        <v>29</v>
      </c>
      <c r="B8" s="3">
        <v>44889</v>
      </c>
      <c r="C8" s="24">
        <v>5779</v>
      </c>
      <c r="D8" s="15">
        <v>6578.6458333333321</v>
      </c>
      <c r="E8" s="15">
        <v>25.692622882181567</v>
      </c>
    </row>
    <row r="9" spans="1:5">
      <c r="A9" t="s">
        <v>29</v>
      </c>
      <c r="B9" s="3">
        <v>44924</v>
      </c>
      <c r="C9" s="24">
        <v>12720</v>
      </c>
      <c r="D9" s="15">
        <v>-6578.6458333333321</v>
      </c>
      <c r="E9" s="15">
        <v>941.0495307734592</v>
      </c>
    </row>
    <row r="10" spans="1:5">
      <c r="A10" t="s">
        <v>29</v>
      </c>
      <c r="B10" s="3">
        <v>44924</v>
      </c>
      <c r="C10" s="24">
        <v>5779</v>
      </c>
      <c r="D10" s="15">
        <v>6578.6458333333321</v>
      </c>
      <c r="E10" s="15">
        <v>30.753526079110454</v>
      </c>
    </row>
    <row r="11" spans="1:5">
      <c r="A11" t="s">
        <v>29</v>
      </c>
      <c r="B11" s="3">
        <v>44980</v>
      </c>
      <c r="C11" s="24">
        <v>14040</v>
      </c>
      <c r="D11" s="15">
        <v>59074.999999999993</v>
      </c>
      <c r="E11" s="15">
        <v>1449.4603306561837</v>
      </c>
    </row>
    <row r="12" spans="1:5">
      <c r="A12" t="s">
        <v>29</v>
      </c>
      <c r="B12" s="3">
        <v>44980</v>
      </c>
      <c r="C12" s="24">
        <v>14400</v>
      </c>
      <c r="D12" s="15">
        <v>-64287.499999999993</v>
      </c>
      <c r="E12" s="15">
        <v>1618.898885024307</v>
      </c>
    </row>
    <row r="13" spans="1:5">
      <c r="A13" t="s">
        <v>29</v>
      </c>
      <c r="B13" s="3">
        <v>44980</v>
      </c>
      <c r="C13" s="24">
        <v>12480</v>
      </c>
      <c r="D13" s="15">
        <v>5212.5</v>
      </c>
      <c r="E13" s="15">
        <v>862.3472000125206</v>
      </c>
    </row>
    <row r="14" spans="1:5">
      <c r="A14" t="s">
        <v>29</v>
      </c>
      <c r="B14" s="3">
        <v>44980</v>
      </c>
      <c r="C14" s="24">
        <v>8400</v>
      </c>
      <c r="D14" s="15">
        <v>-171562.22222222225</v>
      </c>
      <c r="E14" s="15">
        <v>177.33695380235812</v>
      </c>
    </row>
    <row r="15" spans="1:5">
      <c r="A15" t="s">
        <v>29</v>
      </c>
      <c r="B15" s="3">
        <v>44980</v>
      </c>
      <c r="C15" s="24">
        <v>8160</v>
      </c>
      <c r="D15" s="15">
        <v>160839.58333333331</v>
      </c>
      <c r="E15" s="15">
        <v>160.18851337207548</v>
      </c>
    </row>
    <row r="16" spans="1:5">
      <c r="A16" t="s">
        <v>29</v>
      </c>
      <c r="B16" s="3">
        <v>44980</v>
      </c>
      <c r="C16" s="24">
        <v>3429</v>
      </c>
      <c r="D16" s="15">
        <v>10722.638888888891</v>
      </c>
      <c r="E16" s="15">
        <v>0.8796619634447832</v>
      </c>
    </row>
    <row r="17" spans="1:5">
      <c r="A17" t="s">
        <v>29</v>
      </c>
      <c r="B17" s="3">
        <v>44980</v>
      </c>
      <c r="C17" s="24">
        <v>13200</v>
      </c>
      <c r="D17" s="15">
        <v>-87864.583333333314</v>
      </c>
      <c r="E17" s="15">
        <v>1101.9350235855622</v>
      </c>
    </row>
    <row r="18" spans="1:5">
      <c r="A18" t="s">
        <v>29</v>
      </c>
      <c r="B18" s="3">
        <v>44980</v>
      </c>
      <c r="C18" s="24">
        <v>12900</v>
      </c>
      <c r="D18" s="15">
        <v>83680.555555555547</v>
      </c>
      <c r="E18" s="15">
        <v>996.09222946160037</v>
      </c>
    </row>
    <row r="19" spans="1:5">
      <c r="A19" t="s">
        <v>29</v>
      </c>
      <c r="B19" s="3">
        <v>44980</v>
      </c>
      <c r="C19" s="24">
        <v>12000</v>
      </c>
      <c r="D19" s="15">
        <v>4184.0277777777783</v>
      </c>
      <c r="E19" s="15">
        <v>730.24338044455305</v>
      </c>
    </row>
    <row r="20" spans="1:5">
      <c r="A20" t="s">
        <v>29</v>
      </c>
      <c r="B20" s="3">
        <v>45015</v>
      </c>
      <c r="C20" s="24">
        <v>14040</v>
      </c>
      <c r="D20" s="15">
        <v>59074.999999999993</v>
      </c>
      <c r="E20" s="15">
        <v>1437.6766299302024</v>
      </c>
    </row>
    <row r="21" spans="1:5">
      <c r="A21" t="s">
        <v>29</v>
      </c>
      <c r="B21" s="3">
        <v>45015</v>
      </c>
      <c r="C21" s="24">
        <v>14400</v>
      </c>
      <c r="D21" s="15">
        <v>-64287.499999999993</v>
      </c>
      <c r="E21" s="15">
        <v>1604.3941848627787</v>
      </c>
    </row>
    <row r="22" spans="1:5">
      <c r="A22" t="s">
        <v>29</v>
      </c>
      <c r="B22" s="3">
        <v>45015</v>
      </c>
      <c r="C22" s="24">
        <v>12480</v>
      </c>
      <c r="D22" s="15">
        <v>5212.5</v>
      </c>
      <c r="E22" s="15">
        <v>860.09668772376142</v>
      </c>
    </row>
    <row r="23" spans="1:5">
      <c r="A23" t="s">
        <v>29</v>
      </c>
      <c r="B23" s="3">
        <v>45015</v>
      </c>
      <c r="C23" s="24">
        <v>8400</v>
      </c>
      <c r="D23" s="15">
        <v>-171562.22222222225</v>
      </c>
      <c r="E23" s="15">
        <v>181.87801032992712</v>
      </c>
    </row>
    <row r="24" spans="1:5">
      <c r="A24" t="s">
        <v>29</v>
      </c>
      <c r="B24" s="3">
        <v>45015</v>
      </c>
      <c r="C24" s="24">
        <v>8160</v>
      </c>
      <c r="D24" s="15">
        <v>160839.58333333331</v>
      </c>
      <c r="E24" s="15">
        <v>164.65144892987834</v>
      </c>
    </row>
    <row r="25" spans="1:5">
      <c r="A25" t="s">
        <v>29</v>
      </c>
      <c r="B25" s="3">
        <v>45015</v>
      </c>
      <c r="C25" s="24">
        <v>3429</v>
      </c>
      <c r="D25" s="15">
        <v>10722.638888888891</v>
      </c>
      <c r="E25" s="15">
        <v>1.0027813588724741</v>
      </c>
    </row>
    <row r="26" spans="1:5">
      <c r="A26" t="s">
        <v>29</v>
      </c>
      <c r="B26" s="3">
        <v>45015</v>
      </c>
      <c r="C26" s="24">
        <v>13200</v>
      </c>
      <c r="D26" s="15">
        <v>-87864.583333333314</v>
      </c>
      <c r="E26" s="15">
        <v>1095.8325147351413</v>
      </c>
    </row>
    <row r="27" spans="1:5">
      <c r="A27" t="s">
        <v>29</v>
      </c>
      <c r="B27" s="3">
        <v>45015</v>
      </c>
      <c r="C27" s="24">
        <v>12900</v>
      </c>
      <c r="D27" s="15">
        <v>83680.555555555547</v>
      </c>
      <c r="E27" s="15">
        <v>991.70043031004263</v>
      </c>
    </row>
    <row r="28" spans="1:5">
      <c r="A28" t="s">
        <v>29</v>
      </c>
      <c r="B28" s="3">
        <v>45015</v>
      </c>
      <c r="C28" s="24">
        <v>12000</v>
      </c>
      <c r="D28" s="15">
        <v>4184.0277777777783</v>
      </c>
      <c r="E28" s="15">
        <v>730.07620772242262</v>
      </c>
    </row>
    <row r="29" spans="1:5">
      <c r="A29" t="s">
        <v>29</v>
      </c>
      <c r="B29" s="3">
        <v>45043</v>
      </c>
      <c r="C29" s="24">
        <v>14040</v>
      </c>
      <c r="D29" s="15">
        <v>59074.999999999993</v>
      </c>
      <c r="E29" s="15">
        <v>1428.3407919027454</v>
      </c>
    </row>
    <row r="30" spans="1:5">
      <c r="A30" t="s">
        <v>29</v>
      </c>
      <c r="B30" s="3">
        <v>45043</v>
      </c>
      <c r="C30" s="24">
        <v>14400</v>
      </c>
      <c r="D30" s="15">
        <v>-64287.499999999993</v>
      </c>
      <c r="E30" s="15">
        <v>1592.9369467547447</v>
      </c>
    </row>
    <row r="31" spans="1:5">
      <c r="A31" t="s">
        <v>29</v>
      </c>
      <c r="B31" s="3">
        <v>45043</v>
      </c>
      <c r="C31" s="24">
        <v>12480</v>
      </c>
      <c r="D31" s="15">
        <v>5212.5</v>
      </c>
      <c r="E31" s="15">
        <v>858.19685372775814</v>
      </c>
    </row>
    <row r="32" spans="1:5">
      <c r="A32" t="s">
        <v>29</v>
      </c>
      <c r="B32" s="3">
        <v>45043</v>
      </c>
      <c r="C32" s="24">
        <v>8400</v>
      </c>
      <c r="D32" s="15">
        <v>-171562.22222222225</v>
      </c>
      <c r="E32" s="15">
        <v>185.4076654451984</v>
      </c>
    </row>
    <row r="33" spans="1:5">
      <c r="A33" t="s">
        <v>29</v>
      </c>
      <c r="B33" s="3">
        <v>45043</v>
      </c>
      <c r="C33" s="24">
        <v>8160</v>
      </c>
      <c r="D33" s="15">
        <v>160839.58333333331</v>
      </c>
      <c r="E33" s="15">
        <v>168.12918371164352</v>
      </c>
    </row>
    <row r="34" spans="1:5">
      <c r="A34" t="s">
        <v>29</v>
      </c>
      <c r="B34" s="3">
        <v>45043</v>
      </c>
      <c r="C34" s="24">
        <v>3429</v>
      </c>
      <c r="D34" s="15">
        <v>10722.638888888891</v>
      </c>
      <c r="E34" s="15">
        <v>1.1079393915989186</v>
      </c>
    </row>
    <row r="35" spans="1:5">
      <c r="A35" t="s">
        <v>29</v>
      </c>
      <c r="B35" s="3">
        <v>45043</v>
      </c>
      <c r="C35" s="24">
        <v>13200</v>
      </c>
      <c r="D35" s="15">
        <v>-87864.583333333314</v>
      </c>
      <c r="E35" s="15">
        <v>1090.9274426300237</v>
      </c>
    </row>
    <row r="36" spans="1:5">
      <c r="A36" t="s">
        <v>29</v>
      </c>
      <c r="B36" s="3">
        <v>45043</v>
      </c>
      <c r="C36" s="24">
        <v>12900</v>
      </c>
      <c r="D36" s="15">
        <v>83680.555555555547</v>
      </c>
      <c r="E36" s="15">
        <v>988.12885362190468</v>
      </c>
    </row>
    <row r="37" spans="1:5">
      <c r="A37" t="s">
        <v>29</v>
      </c>
      <c r="B37" s="3">
        <v>45043</v>
      </c>
      <c r="C37" s="24">
        <v>12000</v>
      </c>
      <c r="D37" s="15">
        <v>4184.0277777777783</v>
      </c>
      <c r="E37" s="15">
        <v>729.8072483357081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3851"/>
  <sheetViews>
    <sheetView topLeftCell="B1" zoomScale="85" zoomScaleNormal="85" workbookViewId="0">
      <selection activeCell="F34" sqref="F34"/>
    </sheetView>
  </sheetViews>
  <sheetFormatPr defaultRowHeight="14.25"/>
  <cols>
    <col min="2" max="2" width="10.1328125" bestFit="1" customWidth="1"/>
    <col min="3" max="3" width="15.59765625" bestFit="1" customWidth="1"/>
    <col min="4" max="4" width="12" bestFit="1" customWidth="1"/>
    <col min="5" max="5" width="13.59765625" bestFit="1" customWidth="1"/>
    <col min="9" max="9" width="10.1328125" bestFit="1" customWidth="1"/>
    <col min="14" max="14" width="9.265625" bestFit="1" customWidth="1"/>
  </cols>
  <sheetData>
    <row r="1" spans="1:26">
      <c r="C1" s="4" t="s">
        <v>4</v>
      </c>
      <c r="E1">
        <v>0.55000000000000004</v>
      </c>
      <c r="F1">
        <v>0.6</v>
      </c>
      <c r="G1">
        <v>0.65</v>
      </c>
      <c r="H1">
        <v>0.7</v>
      </c>
      <c r="I1">
        <v>0.75</v>
      </c>
      <c r="J1">
        <v>0.8</v>
      </c>
      <c r="K1">
        <v>0.85</v>
      </c>
      <c r="L1">
        <v>0.9</v>
      </c>
      <c r="M1">
        <v>0.94999999999999984</v>
      </c>
      <c r="N1">
        <v>1</v>
      </c>
      <c r="O1">
        <v>1.05</v>
      </c>
      <c r="P1">
        <v>1.1000000000000001</v>
      </c>
      <c r="Q1">
        <v>1.1499999999999999</v>
      </c>
      <c r="R1">
        <v>1.2</v>
      </c>
      <c r="S1">
        <v>1.25</v>
      </c>
      <c r="T1">
        <v>1.3</v>
      </c>
      <c r="U1">
        <v>1.35</v>
      </c>
      <c r="V1">
        <v>1.4</v>
      </c>
      <c r="W1">
        <v>1.45</v>
      </c>
      <c r="X1">
        <v>1.5</v>
      </c>
      <c r="Z1">
        <v>100</v>
      </c>
    </row>
    <row r="2" spans="1:26">
      <c r="D2">
        <v>500</v>
      </c>
      <c r="E2">
        <f t="shared" ref="E2:L2" si="0">$N$2*E1</f>
        <v>42259.679000000004</v>
      </c>
      <c r="F2">
        <f t="shared" si="0"/>
        <v>46101.468000000001</v>
      </c>
      <c r="G2">
        <f t="shared" si="0"/>
        <v>49943.256999999998</v>
      </c>
      <c r="H2">
        <f t="shared" si="0"/>
        <v>53785.045999999995</v>
      </c>
      <c r="I2">
        <f t="shared" si="0"/>
        <v>57626.834999999999</v>
      </c>
      <c r="J2">
        <f t="shared" si="0"/>
        <v>61468.624000000003</v>
      </c>
      <c r="K2">
        <f t="shared" si="0"/>
        <v>65310.413</v>
      </c>
      <c r="L2">
        <f t="shared" si="0"/>
        <v>69152.202000000005</v>
      </c>
      <c r="M2">
        <f>$N$2*M1</f>
        <v>72993.99099999998</v>
      </c>
      <c r="N2" s="302">
        <v>76835.78</v>
      </c>
      <c r="O2">
        <f t="shared" ref="O2:W2" si="1">$N$2*O1</f>
        <v>80677.569000000003</v>
      </c>
      <c r="P2">
        <f t="shared" si="1"/>
        <v>84519.358000000007</v>
      </c>
      <c r="Q2">
        <f t="shared" si="1"/>
        <v>88361.146999999997</v>
      </c>
      <c r="R2">
        <f t="shared" si="1"/>
        <v>92202.936000000002</v>
      </c>
      <c r="S2">
        <f t="shared" si="1"/>
        <v>96044.725000000006</v>
      </c>
      <c r="T2">
        <f t="shared" si="1"/>
        <v>99886.513999999996</v>
      </c>
      <c r="U2">
        <f t="shared" si="1"/>
        <v>103728.303</v>
      </c>
      <c r="V2">
        <f t="shared" si="1"/>
        <v>107570.09199999999</v>
      </c>
      <c r="W2">
        <f t="shared" si="1"/>
        <v>111411.88099999999</v>
      </c>
      <c r="X2">
        <f t="shared" ref="X2" si="2">$N$2*X1</f>
        <v>115253.67</v>
      </c>
    </row>
    <row r="3" spans="1:26">
      <c r="A3" s="17"/>
      <c r="B3" t="s">
        <v>15</v>
      </c>
      <c r="C3" s="3">
        <v>46203</v>
      </c>
      <c r="D3" s="17">
        <v>50.9</v>
      </c>
      <c r="E3" s="17">
        <v>53.498202999999997</v>
      </c>
      <c r="F3" s="17">
        <v>47.642375000000001</v>
      </c>
      <c r="G3" s="17">
        <v>42.071740000000005</v>
      </c>
      <c r="H3" s="17">
        <v>37.049005000000001</v>
      </c>
      <c r="I3" s="17">
        <v>32.774511000000004</v>
      </c>
      <c r="J3" s="17">
        <v>35.160575133333332</v>
      </c>
      <c r="K3" s="17">
        <v>28.862275866666668</v>
      </c>
      <c r="L3" s="17">
        <v>22.546855000000001</v>
      </c>
      <c r="M3" s="17">
        <v>16.796015733333331</v>
      </c>
      <c r="N3" s="17">
        <v>13.510898933333333</v>
      </c>
      <c r="O3" s="17">
        <v>14.323560266666666</v>
      </c>
      <c r="P3" s="17">
        <v>17.911644266666666</v>
      </c>
      <c r="Q3" s="17">
        <v>21.776390599999999</v>
      </c>
      <c r="R3" s="17">
        <v>26.231939066666666</v>
      </c>
      <c r="S3" s="17">
        <v>22.398577</v>
      </c>
      <c r="T3" s="17">
        <v>24.556242000000001</v>
      </c>
      <c r="U3" s="17">
        <v>26.533433000000002</v>
      </c>
      <c r="V3" s="17">
        <v>32.174546999999997</v>
      </c>
      <c r="W3" s="17">
        <v>34.348285000000004</v>
      </c>
      <c r="X3" s="17">
        <v>36.368422000000002</v>
      </c>
      <c r="Z3" s="3"/>
    </row>
    <row r="4" spans="1:26">
      <c r="A4" s="17"/>
      <c r="C4" s="3">
        <v>46231</v>
      </c>
      <c r="D4" s="17">
        <v>50.9</v>
      </c>
      <c r="E4" s="17">
        <v>46.240204133333336</v>
      </c>
      <c r="F4" s="17">
        <v>42.137845933333331</v>
      </c>
      <c r="G4" s="17">
        <v>38.085879733333329</v>
      </c>
      <c r="H4" s="17">
        <v>33.947148933333331</v>
      </c>
      <c r="I4" s="17">
        <v>29.836444066666665</v>
      </c>
      <c r="J4" s="17">
        <v>25.964755066666669</v>
      </c>
      <c r="K4" s="17">
        <v>22.074228733333332</v>
      </c>
      <c r="L4" s="17">
        <v>18.569206466666667</v>
      </c>
      <c r="M4" s="17">
        <v>15.798473400000002</v>
      </c>
      <c r="N4" s="17">
        <v>13.88309786666667</v>
      </c>
      <c r="O4" s="17">
        <v>12.959421733333333</v>
      </c>
      <c r="P4" s="17">
        <v>13.731074066666663</v>
      </c>
      <c r="Q4" s="17">
        <v>15.592305933333334</v>
      </c>
      <c r="R4" s="17">
        <v>17.812587733333331</v>
      </c>
      <c r="S4" s="17">
        <v>19.273524733333335</v>
      </c>
      <c r="T4" s="17">
        <v>20.930479599999998</v>
      </c>
      <c r="U4" s="17">
        <v>22.554219999999997</v>
      </c>
      <c r="V4" s="17">
        <v>24.051081066666665</v>
      </c>
      <c r="W4" s="17">
        <v>25.617490933333336</v>
      </c>
      <c r="X4" s="17">
        <v>27.588640999999999</v>
      </c>
      <c r="Z4" s="3"/>
    </row>
    <row r="5" spans="1:26">
      <c r="A5" s="17"/>
      <c r="C5" s="3">
        <v>46259</v>
      </c>
      <c r="D5" s="17">
        <v>45.12</v>
      </c>
      <c r="E5" s="17">
        <v>46.121969562500006</v>
      </c>
      <c r="F5" s="17">
        <v>42.107417875000003</v>
      </c>
      <c r="G5" s="17">
        <v>37.776590562500004</v>
      </c>
      <c r="H5" s="17">
        <v>33.327996125000006</v>
      </c>
      <c r="I5" s="17">
        <v>29.246555437500003</v>
      </c>
      <c r="J5" s="17">
        <v>25.419993874999999</v>
      </c>
      <c r="K5" s="17">
        <v>21.364908312499995</v>
      </c>
      <c r="L5" s="17">
        <v>17.564525249999999</v>
      </c>
      <c r="M5" s="17">
        <v>14.390927875000001</v>
      </c>
      <c r="N5" s="17">
        <v>12.453039375000001</v>
      </c>
      <c r="O5" s="17">
        <v>11.4203201875</v>
      </c>
      <c r="P5" s="17">
        <v>12.2824635</v>
      </c>
      <c r="Q5" s="17">
        <v>14.027082937500001</v>
      </c>
      <c r="R5" s="17">
        <v>16.1678886875</v>
      </c>
      <c r="S5" s="17">
        <v>17.889485999999998</v>
      </c>
      <c r="T5" s="17">
        <v>19.572724124999997</v>
      </c>
      <c r="U5" s="17">
        <v>21.177261937499999</v>
      </c>
      <c r="V5" s="17">
        <v>23.543043249999997</v>
      </c>
      <c r="W5" s="17">
        <v>25.689093812499998</v>
      </c>
      <c r="X5" s="17">
        <v>27.385916874999999</v>
      </c>
      <c r="Z5" s="3"/>
    </row>
    <row r="6" spans="1:26">
      <c r="A6" s="17"/>
      <c r="C6" s="3">
        <v>46294</v>
      </c>
      <c r="D6" s="17">
        <v>41.94</v>
      </c>
      <c r="E6" s="17">
        <v>38.378730124999997</v>
      </c>
      <c r="F6" s="17">
        <v>35.196519062499995</v>
      </c>
      <c r="G6" s="17">
        <v>32.005829687499997</v>
      </c>
      <c r="H6" s="17">
        <v>28.812092374999999</v>
      </c>
      <c r="I6" s="17">
        <v>25.620003812499998</v>
      </c>
      <c r="J6" s="17">
        <v>22.507699562499997</v>
      </c>
      <c r="K6" s="17">
        <v>19.373836687499999</v>
      </c>
      <c r="L6" s="17">
        <v>16.462992312500003</v>
      </c>
      <c r="M6" s="17">
        <v>14.271356750000002</v>
      </c>
      <c r="N6" s="17">
        <v>12.8451361875</v>
      </c>
      <c r="O6" s="17">
        <v>11.764954937500001</v>
      </c>
      <c r="P6" s="17">
        <v>11.6968814375</v>
      </c>
      <c r="Q6" s="17">
        <v>12.789969812499999</v>
      </c>
      <c r="R6" s="17">
        <v>14.177044312500001</v>
      </c>
      <c r="S6" s="17">
        <v>15.820528562500002</v>
      </c>
      <c r="T6" s="17">
        <v>17.251696500000001</v>
      </c>
      <c r="U6" s="17">
        <v>18.589576749999999</v>
      </c>
      <c r="V6" s="17">
        <v>19.839198937500001</v>
      </c>
      <c r="W6" s="17">
        <v>21.017499687499999</v>
      </c>
      <c r="X6" s="17">
        <v>22.128115874999999</v>
      </c>
      <c r="Z6" s="3"/>
    </row>
    <row r="7" spans="1:26">
      <c r="A7" s="17"/>
      <c r="C7" s="3">
        <v>46322</v>
      </c>
      <c r="D7" s="17">
        <v>35.680000000000007</v>
      </c>
      <c r="E7" s="17">
        <v>37.255791000000002</v>
      </c>
      <c r="F7" s="17">
        <v>34.0373375</v>
      </c>
      <c r="G7" s="17">
        <v>30.839427999999998</v>
      </c>
      <c r="H7" s="17">
        <v>27.684114000000001</v>
      </c>
      <c r="I7" s="17">
        <v>24.562603500000002</v>
      </c>
      <c r="J7" s="17">
        <v>21.632112999999997</v>
      </c>
      <c r="K7" s="17">
        <v>18.7816005</v>
      </c>
      <c r="L7" s="17">
        <v>16.1397075</v>
      </c>
      <c r="M7" s="17">
        <v>14.165254999999998</v>
      </c>
      <c r="N7" s="17">
        <v>12.837510999999999</v>
      </c>
      <c r="O7" s="17">
        <v>11.817753499999998</v>
      </c>
      <c r="P7" s="17">
        <v>11.6568215</v>
      </c>
      <c r="Q7" s="17">
        <v>12.502111999999999</v>
      </c>
      <c r="R7" s="17">
        <v>13.828591000000001</v>
      </c>
      <c r="S7" s="17">
        <v>15.4815275</v>
      </c>
      <c r="T7" s="17">
        <v>16.904223000000002</v>
      </c>
      <c r="U7" s="17">
        <v>18.2681015</v>
      </c>
      <c r="V7" s="17">
        <v>19.5747225</v>
      </c>
      <c r="W7" s="17">
        <v>20.816286999999999</v>
      </c>
      <c r="X7" s="17">
        <v>22.008560500000002</v>
      </c>
      <c r="Z7" s="3"/>
    </row>
    <row r="8" spans="1:26">
      <c r="A8" s="17"/>
      <c r="C8" s="3">
        <v>46385</v>
      </c>
      <c r="D8" s="17">
        <v>35.680000000000007</v>
      </c>
      <c r="E8" s="17">
        <v>33.387515749999999</v>
      </c>
      <c r="F8" s="17">
        <v>30.672042062499997</v>
      </c>
      <c r="G8" s="17">
        <v>27.968134187499999</v>
      </c>
      <c r="H8" s="17">
        <v>25.3136045</v>
      </c>
      <c r="I8" s="17">
        <v>22.741120312499994</v>
      </c>
      <c r="J8" s="17">
        <v>20.2850745625</v>
      </c>
      <c r="K8" s="17">
        <v>17.948424437500002</v>
      </c>
      <c r="L8" s="17">
        <v>15.913677625</v>
      </c>
      <c r="M8" s="17">
        <v>14.322227187499999</v>
      </c>
      <c r="N8" s="17">
        <v>13.140360562499998</v>
      </c>
      <c r="O8" s="17">
        <v>12.164530812499999</v>
      </c>
      <c r="P8" s="17">
        <v>11.558987687500002</v>
      </c>
      <c r="Q8" s="17">
        <v>11.6213865625</v>
      </c>
      <c r="R8" s="17">
        <v>12.262713562500002</v>
      </c>
      <c r="S8" s="17">
        <v>13.16282625</v>
      </c>
      <c r="T8" s="17">
        <v>14.095457437499999</v>
      </c>
      <c r="U8" s="17">
        <v>15.031519687499999</v>
      </c>
      <c r="V8" s="17">
        <v>15.9418001875</v>
      </c>
      <c r="W8" s="17">
        <v>16.821038312499997</v>
      </c>
      <c r="X8" s="17">
        <v>17.65879975</v>
      </c>
      <c r="Z8" s="3"/>
    </row>
    <row r="9" spans="1:26">
      <c r="A9" s="17"/>
      <c r="C9" s="3">
        <v>46476</v>
      </c>
      <c r="D9" s="17">
        <v>31.499999999999996</v>
      </c>
      <c r="E9" s="17">
        <v>30.781673937499999</v>
      </c>
      <c r="F9" s="17">
        <v>28.395407687500004</v>
      </c>
      <c r="G9" s="17">
        <v>26.085570500000003</v>
      </c>
      <c r="H9" s="17">
        <v>23.848335312499998</v>
      </c>
      <c r="I9" s="17">
        <v>21.727760500000002</v>
      </c>
      <c r="J9" s="17">
        <v>19.703977750000004</v>
      </c>
      <c r="K9" s="17">
        <v>17.864230562500001</v>
      </c>
      <c r="L9" s="17">
        <v>16.2484564375</v>
      </c>
      <c r="M9" s="17">
        <v>14.9153604375</v>
      </c>
      <c r="N9" s="17">
        <v>13.789796749999997</v>
      </c>
      <c r="O9" s="17">
        <v>12.8670545625</v>
      </c>
      <c r="P9" s="17">
        <v>12.203436312499999</v>
      </c>
      <c r="Q9" s="17">
        <v>11.8543438125</v>
      </c>
      <c r="R9" s="17">
        <v>11.923177874999999</v>
      </c>
      <c r="S9" s="17">
        <v>12.325612937500001</v>
      </c>
      <c r="T9" s="17">
        <v>12.908486937500001</v>
      </c>
      <c r="U9" s="17">
        <v>13.585301750000001</v>
      </c>
      <c r="V9" s="17">
        <v>14.296545812499998</v>
      </c>
      <c r="W9" s="17">
        <v>15.0152535625</v>
      </c>
      <c r="X9" s="17">
        <v>15.742952625000004</v>
      </c>
      <c r="Z9" s="3"/>
    </row>
    <row r="10" spans="1:26">
      <c r="A10" s="17"/>
      <c r="C10" s="3">
        <v>46567</v>
      </c>
      <c r="D10" s="17">
        <v>29.839999999999996</v>
      </c>
      <c r="E10" s="17">
        <v>28.901962062500001</v>
      </c>
      <c r="F10" s="17">
        <v>26.841407437500003</v>
      </c>
      <c r="G10" s="17">
        <v>24.854688562499998</v>
      </c>
      <c r="H10" s="17">
        <v>22.938519125000003</v>
      </c>
      <c r="I10" s="17">
        <v>21.118915187499997</v>
      </c>
      <c r="J10" s="17">
        <v>19.389777500000001</v>
      </c>
      <c r="K10" s="17">
        <v>17.805828812500003</v>
      </c>
      <c r="L10" s="17">
        <v>16.374923437499998</v>
      </c>
      <c r="M10" s="17">
        <v>15.161807812499999</v>
      </c>
      <c r="N10" s="17">
        <v>14.140076375</v>
      </c>
      <c r="O10" s="17">
        <v>13.280350562500001</v>
      </c>
      <c r="P10" s="17">
        <v>12.609317687499999</v>
      </c>
      <c r="Q10" s="17">
        <v>12.148026375000002</v>
      </c>
      <c r="R10" s="17">
        <v>11.9555374375</v>
      </c>
      <c r="S10" s="17">
        <v>12.090984249999996</v>
      </c>
      <c r="T10" s="17">
        <v>12.4003721875</v>
      </c>
      <c r="U10" s="17">
        <v>12.773623312499998</v>
      </c>
      <c r="V10" s="17">
        <v>13.223175625</v>
      </c>
      <c r="W10" s="17">
        <v>13.709510249999999</v>
      </c>
      <c r="X10" s="17">
        <v>14.21749075</v>
      </c>
      <c r="Z10" s="3"/>
    </row>
    <row r="11" spans="1:26">
      <c r="A11" s="17"/>
      <c r="C11" s="3">
        <v>46658</v>
      </c>
      <c r="D11" s="17">
        <v>28.45</v>
      </c>
      <c r="E11" s="17">
        <v>28.215667687499998</v>
      </c>
      <c r="F11" s="17">
        <v>26.245488624999997</v>
      </c>
      <c r="G11" s="17">
        <v>24.394563625</v>
      </c>
      <c r="H11" s="17">
        <v>22.665605375000002</v>
      </c>
      <c r="I11" s="17">
        <v>21.053112625000001</v>
      </c>
      <c r="J11" s="17">
        <v>19.523852062500001</v>
      </c>
      <c r="K11" s="17">
        <v>18.096214624999998</v>
      </c>
      <c r="L11" s="17">
        <v>16.812904749999998</v>
      </c>
      <c r="M11" s="17">
        <v>15.6957705625</v>
      </c>
      <c r="N11" s="17">
        <v>14.726892874999999</v>
      </c>
      <c r="O11" s="17">
        <v>13.910646000000002</v>
      </c>
      <c r="P11" s="17">
        <v>13.259141062499999</v>
      </c>
      <c r="Q11" s="17">
        <v>12.795801562499999</v>
      </c>
      <c r="R11" s="17">
        <v>12.507041187500002</v>
      </c>
      <c r="S11" s="17">
        <v>12.4090206875</v>
      </c>
      <c r="T11" s="17">
        <v>12.542361062499999</v>
      </c>
      <c r="U11" s="17">
        <v>12.780248437500001</v>
      </c>
      <c r="V11" s="17">
        <v>13.074211437499999</v>
      </c>
      <c r="W11" s="17">
        <v>13.402926874999999</v>
      </c>
      <c r="X11" s="17">
        <v>13.765009000000003</v>
      </c>
      <c r="Z11" s="3"/>
    </row>
    <row r="12" spans="1:26">
      <c r="A12" s="17"/>
      <c r="C12" s="3">
        <v>46749</v>
      </c>
      <c r="D12" s="17">
        <v>27.36</v>
      </c>
      <c r="E12" s="17">
        <v>27.566288687499998</v>
      </c>
      <c r="F12" s="17">
        <v>25.753084125000001</v>
      </c>
      <c r="G12" s="17">
        <v>24.057250499999999</v>
      </c>
      <c r="H12" s="17">
        <v>22.480107374999999</v>
      </c>
      <c r="I12" s="17">
        <v>21.013410437499999</v>
      </c>
      <c r="J12" s="17">
        <v>19.627216062499997</v>
      </c>
      <c r="K12" s="17">
        <v>18.328863999999999</v>
      </c>
      <c r="L12" s="17">
        <v>17.145786124999997</v>
      </c>
      <c r="M12" s="17">
        <v>16.094273250000001</v>
      </c>
      <c r="N12" s="17">
        <v>15.169871312499998</v>
      </c>
      <c r="O12" s="17">
        <v>14.369445312500002</v>
      </c>
      <c r="P12" s="17">
        <v>13.717681375</v>
      </c>
      <c r="Q12" s="17">
        <v>13.219410500000002</v>
      </c>
      <c r="R12" s="17">
        <v>12.878540812499999</v>
      </c>
      <c r="S12" s="17">
        <v>12.682750187499998</v>
      </c>
      <c r="T12" s="17">
        <v>12.64423</v>
      </c>
      <c r="U12" s="17">
        <v>12.7285868125</v>
      </c>
      <c r="V12" s="17">
        <v>12.912222125000003</v>
      </c>
      <c r="W12" s="17">
        <v>13.182537</v>
      </c>
      <c r="X12" s="17">
        <v>13.514378499999999</v>
      </c>
      <c r="Z12" s="3"/>
    </row>
    <row r="13" spans="1:26">
      <c r="A13" s="17"/>
      <c r="C13" s="3">
        <v>46840</v>
      </c>
      <c r="D13" s="17">
        <v>26.78</v>
      </c>
      <c r="E13" s="17">
        <v>26.954872062499994</v>
      </c>
      <c r="F13" s="17">
        <v>25.274167812500004</v>
      </c>
      <c r="G13" s="17">
        <v>23.714108499999995</v>
      </c>
      <c r="H13" s="17">
        <v>22.268241250000003</v>
      </c>
      <c r="I13" s="17">
        <v>20.94566575</v>
      </c>
      <c r="J13" s="17">
        <v>19.712597499999998</v>
      </c>
      <c r="K13" s="17">
        <v>18.542101250000002</v>
      </c>
      <c r="L13" s="17">
        <v>17.447765500000003</v>
      </c>
      <c r="M13" s="17">
        <v>16.457893250000001</v>
      </c>
      <c r="N13" s="17">
        <v>15.584600312499999</v>
      </c>
      <c r="O13" s="17">
        <v>14.808363312500003</v>
      </c>
      <c r="P13" s="17">
        <v>14.153810625000002</v>
      </c>
      <c r="Q13" s="17">
        <v>13.632889687499999</v>
      </c>
      <c r="R13" s="17">
        <v>13.247441374999998</v>
      </c>
      <c r="S13" s="17">
        <v>12.989630187499998</v>
      </c>
      <c r="T13" s="17">
        <v>12.8348414375</v>
      </c>
      <c r="U13" s="17">
        <v>12.7622061875</v>
      </c>
      <c r="V13" s="17">
        <v>12.838277562499998</v>
      </c>
      <c r="W13" s="17">
        <v>13.009376687500001</v>
      </c>
      <c r="X13" s="17">
        <v>13.260919187500001</v>
      </c>
      <c r="Z13" s="3"/>
    </row>
    <row r="14" spans="1:26">
      <c r="A14" s="17"/>
      <c r="C14" s="3">
        <v>46931</v>
      </c>
      <c r="D14" s="17">
        <v>26.159999999999997</v>
      </c>
      <c r="E14" s="17">
        <v>26.489150000000006</v>
      </c>
      <c r="F14" s="17">
        <v>24.939284937499998</v>
      </c>
      <c r="G14" s="17">
        <v>23.497123187500002</v>
      </c>
      <c r="H14" s="17">
        <v>22.172018437499993</v>
      </c>
      <c r="I14" s="17">
        <v>20.955845249999996</v>
      </c>
      <c r="J14" s="17">
        <v>19.808530937500002</v>
      </c>
      <c r="K14" s="17">
        <v>18.704589562500001</v>
      </c>
      <c r="L14" s="17">
        <v>17.668086062500002</v>
      </c>
      <c r="M14" s="17">
        <v>16.721249562500002</v>
      </c>
      <c r="N14" s="17">
        <v>15.874589624999999</v>
      </c>
      <c r="O14" s="17">
        <v>15.127136750000002</v>
      </c>
      <c r="P14" s="17">
        <v>14.482959062500003</v>
      </c>
      <c r="Q14" s="17">
        <v>13.953838562499998</v>
      </c>
      <c r="R14" s="17">
        <v>13.542964749999999</v>
      </c>
      <c r="S14" s="17">
        <v>13.247364937499999</v>
      </c>
      <c r="T14" s="17">
        <v>13.0555738125</v>
      </c>
      <c r="U14" s="36">
        <v>12.911570812499999</v>
      </c>
      <c r="V14" s="36">
        <v>12.86963675</v>
      </c>
      <c r="W14" s="36">
        <v>12.943991375</v>
      </c>
      <c r="X14" s="36">
        <v>13.1076053125</v>
      </c>
      <c r="Z14" s="3"/>
    </row>
    <row r="15" spans="1:26">
      <c r="A15" s="17"/>
      <c r="C15" s="3">
        <v>47113</v>
      </c>
      <c r="D15" s="17">
        <v>25.549999999999997</v>
      </c>
      <c r="E15" s="17">
        <v>26.022175187499993</v>
      </c>
      <c r="F15" s="17">
        <v>24.739298250000001</v>
      </c>
      <c r="G15" s="17">
        <v>23.524819125</v>
      </c>
      <c r="H15" s="17">
        <v>22.376002625000002</v>
      </c>
      <c r="I15" s="17">
        <v>21.294301249999997</v>
      </c>
      <c r="J15" s="17">
        <v>20.266583062499997</v>
      </c>
      <c r="K15" s="17">
        <v>19.278240375000003</v>
      </c>
      <c r="L15" s="17">
        <v>18.335183249999996</v>
      </c>
      <c r="M15" s="17">
        <v>17.457718499999999</v>
      </c>
      <c r="N15" s="17">
        <v>16.651995812500001</v>
      </c>
      <c r="O15" s="17">
        <v>15.926701875000001</v>
      </c>
      <c r="P15" s="17">
        <v>15.290039562500001</v>
      </c>
      <c r="Q15" s="17">
        <v>14.738648812499997</v>
      </c>
      <c r="R15" s="17">
        <v>14.275110624999998</v>
      </c>
      <c r="S15" s="17">
        <v>13.906437000000002</v>
      </c>
      <c r="T15" s="17">
        <v>13.628752562500003</v>
      </c>
      <c r="U15" s="17">
        <v>13.425527312499998</v>
      </c>
      <c r="V15" s="36">
        <v>13.271342499999999</v>
      </c>
      <c r="W15" s="36">
        <v>13.183362062500001</v>
      </c>
      <c r="X15" s="36">
        <v>13.161938187499999</v>
      </c>
      <c r="Z15" s="3"/>
    </row>
    <row r="16" spans="1:26">
      <c r="A16" s="17"/>
      <c r="C16" s="3">
        <v>47295</v>
      </c>
      <c r="D16" s="17">
        <v>25.1</v>
      </c>
      <c r="E16" s="17">
        <v>25.713746</v>
      </c>
      <c r="F16" s="17">
        <v>24.560741125000003</v>
      </c>
      <c r="G16" s="17">
        <v>23.469787874999998</v>
      </c>
      <c r="H16" s="17">
        <v>22.429919062500002</v>
      </c>
      <c r="I16" s="17">
        <v>21.440269749999999</v>
      </c>
      <c r="J16" s="17">
        <v>20.49960475</v>
      </c>
      <c r="K16" s="17">
        <v>19.601252187499995</v>
      </c>
      <c r="L16" s="17">
        <v>18.742454375000001</v>
      </c>
      <c r="M16" s="17">
        <v>17.927167124999997</v>
      </c>
      <c r="N16" s="17">
        <v>17.172463437499999</v>
      </c>
      <c r="O16" s="17">
        <v>16.4840329375</v>
      </c>
      <c r="P16" s="17">
        <v>15.863741062499995</v>
      </c>
      <c r="Q16" s="17">
        <v>15.314539562499998</v>
      </c>
      <c r="R16" s="17">
        <v>14.8364969375</v>
      </c>
      <c r="S16" s="17">
        <v>14.430802687499998</v>
      </c>
      <c r="T16" s="17">
        <v>14.101694500000002</v>
      </c>
      <c r="U16" s="17">
        <v>13.847672875000001</v>
      </c>
      <c r="V16" s="36">
        <v>13.644048749999998</v>
      </c>
      <c r="W16" s="36">
        <v>13.492162374999999</v>
      </c>
      <c r="X16" s="36">
        <v>13.394642374999998</v>
      </c>
      <c r="Z16" s="3"/>
    </row>
    <row r="17" spans="1:48">
      <c r="A17" s="17"/>
      <c r="C17" s="3">
        <v>47476</v>
      </c>
      <c r="D17" s="17">
        <v>24.520000000000003</v>
      </c>
      <c r="E17" s="17">
        <v>25.735725000000002</v>
      </c>
      <c r="F17" s="17">
        <v>24.691208000000003</v>
      </c>
      <c r="G17" s="17">
        <v>23.684495374999997</v>
      </c>
      <c r="H17" s="17">
        <v>22.711719375000001</v>
      </c>
      <c r="I17" s="17">
        <v>21.775323437499999</v>
      </c>
      <c r="J17" s="17">
        <v>20.877802437499994</v>
      </c>
      <c r="K17" s="17">
        <v>20.018928562499998</v>
      </c>
      <c r="L17" s="17">
        <v>19.199918499999999</v>
      </c>
      <c r="M17" s="17">
        <v>18.4227869375</v>
      </c>
      <c r="N17" s="17">
        <v>17.694021187499999</v>
      </c>
      <c r="O17" s="17">
        <v>17.021553062500004</v>
      </c>
      <c r="P17" s="17">
        <v>16.405827125000002</v>
      </c>
      <c r="Q17" s="17">
        <v>15.849324875000001</v>
      </c>
      <c r="R17" s="17">
        <v>15.352362187500001</v>
      </c>
      <c r="S17" s="17">
        <v>14.921431500000001</v>
      </c>
      <c r="T17" s="17">
        <v>14.55451025</v>
      </c>
      <c r="U17" s="17">
        <v>14.257013125</v>
      </c>
      <c r="V17" s="36">
        <v>13.991024937500001</v>
      </c>
      <c r="W17" s="36">
        <v>13.793205875</v>
      </c>
      <c r="X17" s="36">
        <v>13.651926599999999</v>
      </c>
      <c r="Z17" s="3"/>
    </row>
    <row r="18" spans="1:48">
      <c r="A18" s="17"/>
      <c r="C18" s="3">
        <v>47846</v>
      </c>
      <c r="D18" s="17">
        <v>28.46</v>
      </c>
      <c r="E18" s="17">
        <v>25.735725000000002</v>
      </c>
      <c r="F18" s="17">
        <v>24.691208000000003</v>
      </c>
      <c r="G18" s="17">
        <v>23.684495374999997</v>
      </c>
      <c r="H18" s="17">
        <v>22.711719375000001</v>
      </c>
      <c r="I18" s="17">
        <v>21.775323437499999</v>
      </c>
      <c r="J18" s="17">
        <v>20.877802437499994</v>
      </c>
      <c r="K18" s="17">
        <v>20.018928562499998</v>
      </c>
      <c r="L18" s="17">
        <v>19.199918499999999</v>
      </c>
      <c r="M18" s="17">
        <v>18.4227869375</v>
      </c>
      <c r="N18" s="17">
        <v>17.694021187499999</v>
      </c>
      <c r="O18" s="17">
        <v>17.021553062500004</v>
      </c>
      <c r="P18" s="17">
        <v>16.405827125000002</v>
      </c>
      <c r="Q18" s="17">
        <v>15.849324875000001</v>
      </c>
      <c r="R18" s="17">
        <v>15.352362187500001</v>
      </c>
      <c r="S18" s="17">
        <v>14.921431500000001</v>
      </c>
      <c r="T18" s="17">
        <v>14.55451025</v>
      </c>
      <c r="U18" s="17">
        <v>14.257013125</v>
      </c>
      <c r="V18" s="36">
        <v>13.991024937500001</v>
      </c>
      <c r="W18" s="36">
        <v>13.793205875</v>
      </c>
      <c r="X18" s="36">
        <v>13.651926599999999</v>
      </c>
      <c r="Z18" s="3"/>
    </row>
    <row r="19" spans="1:48">
      <c r="A19" s="17"/>
      <c r="C19" s="3">
        <v>47878</v>
      </c>
      <c r="D19" s="17">
        <v>28.46</v>
      </c>
      <c r="E19" s="17">
        <v>25.735725000000002</v>
      </c>
      <c r="F19" s="17">
        <v>24.691208000000003</v>
      </c>
      <c r="G19" s="17">
        <v>23.684495374999997</v>
      </c>
      <c r="H19" s="17">
        <v>22.711719375000001</v>
      </c>
      <c r="I19" s="17">
        <v>21.775323437499999</v>
      </c>
      <c r="J19" s="17">
        <v>20.877802437499994</v>
      </c>
      <c r="K19" s="17">
        <v>20.018928562499998</v>
      </c>
      <c r="L19" s="17">
        <v>19.199918499999999</v>
      </c>
      <c r="M19" s="17">
        <v>18.4227869375</v>
      </c>
      <c r="N19" s="17">
        <v>17.694021187499999</v>
      </c>
      <c r="O19" s="17">
        <v>17.021553062500004</v>
      </c>
      <c r="P19" s="17">
        <v>16.405827125000002</v>
      </c>
      <c r="Q19" s="17">
        <v>15.849324875000001</v>
      </c>
      <c r="R19" s="17">
        <v>15.352362187500001</v>
      </c>
      <c r="S19" s="17">
        <v>14.921431500000001</v>
      </c>
      <c r="T19" s="17">
        <v>14.55451025</v>
      </c>
      <c r="U19" s="17">
        <v>14.257013125</v>
      </c>
      <c r="V19" s="36">
        <v>13.991024937500001</v>
      </c>
      <c r="W19" s="36">
        <v>13.793205875</v>
      </c>
      <c r="X19" s="36">
        <v>13.651926599999999</v>
      </c>
      <c r="Z19" s="3"/>
    </row>
    <row r="20" spans="1:48">
      <c r="A20" s="17"/>
      <c r="C20" s="3">
        <v>47962</v>
      </c>
      <c r="D20" s="17">
        <v>28.46</v>
      </c>
      <c r="E20" s="17">
        <v>25.735725000000002</v>
      </c>
      <c r="F20" s="17">
        <v>24.691208000000003</v>
      </c>
      <c r="G20" s="17">
        <v>23.684495374999997</v>
      </c>
      <c r="H20" s="17">
        <v>22.711719375000001</v>
      </c>
      <c r="I20" s="17">
        <v>21.775323437499999</v>
      </c>
      <c r="J20" s="17">
        <v>20.877802437499994</v>
      </c>
      <c r="K20" s="17">
        <v>20.018928562499998</v>
      </c>
      <c r="L20" s="17">
        <v>19.199918499999999</v>
      </c>
      <c r="M20" s="17">
        <v>18.4227869375</v>
      </c>
      <c r="N20" s="17">
        <v>17.694021187499999</v>
      </c>
      <c r="O20" s="17">
        <v>17.021553062500004</v>
      </c>
      <c r="P20" s="17">
        <v>16.405827125000002</v>
      </c>
      <c r="Q20" s="17">
        <v>15.849324875000001</v>
      </c>
      <c r="R20" s="17">
        <v>15.352362187500001</v>
      </c>
      <c r="S20" s="17">
        <v>14.921431500000001</v>
      </c>
      <c r="T20" s="17">
        <v>14.55451025</v>
      </c>
      <c r="U20" s="17">
        <v>14.257013125</v>
      </c>
      <c r="V20" s="36">
        <v>13.991024937500001</v>
      </c>
      <c r="W20" s="36">
        <v>13.793205875</v>
      </c>
      <c r="X20" s="36">
        <v>13.651926599999999</v>
      </c>
      <c r="Z20" s="3"/>
    </row>
    <row r="21" spans="1:48">
      <c r="B21" s="3"/>
      <c r="C21" s="3"/>
      <c r="D21" s="17"/>
      <c r="E21" s="17">
        <f t="shared" ref="E21:L21" si="3">E17-F17</f>
        <v>1.044516999999999</v>
      </c>
      <c r="F21" s="17">
        <f t="shared" si="3"/>
        <v>1.0067126250000058</v>
      </c>
      <c r="G21" s="17">
        <f t="shared" si="3"/>
        <v>0.97277599999999609</v>
      </c>
      <c r="H21" s="17">
        <f t="shared" si="3"/>
        <v>0.93639593750000216</v>
      </c>
      <c r="I21" s="17">
        <f t="shared" si="3"/>
        <v>0.89752100000000468</v>
      </c>
      <c r="J21" s="17">
        <f t="shared" si="3"/>
        <v>0.8588738749999969</v>
      </c>
      <c r="K21" s="17">
        <f t="shared" si="3"/>
        <v>0.81901006249999853</v>
      </c>
      <c r="L21" s="17">
        <f t="shared" si="3"/>
        <v>0.77713156249999926</v>
      </c>
      <c r="M21" s="17">
        <f>M17-N17</f>
        <v>0.72876575000000088</v>
      </c>
      <c r="N21" s="17"/>
      <c r="O21" s="17">
        <f>N17-O17</f>
        <v>0.67246812499999464</v>
      </c>
      <c r="P21" s="17">
        <f>O17-P17</f>
        <v>0.61572593750000237</v>
      </c>
      <c r="Q21" s="17">
        <f t="shared" ref="Q21:X21" si="4">P17-Q17</f>
        <v>0.5565022500000012</v>
      </c>
      <c r="R21" s="17">
        <f t="shared" si="4"/>
        <v>0.49696268749999994</v>
      </c>
      <c r="S21" s="17">
        <f t="shared" si="4"/>
        <v>0.43093068750000008</v>
      </c>
      <c r="T21" s="17">
        <f t="shared" si="4"/>
        <v>0.36692125000000075</v>
      </c>
      <c r="U21" s="17">
        <f t="shared" si="4"/>
        <v>0.29749712499999958</v>
      </c>
      <c r="V21" s="17">
        <f t="shared" si="4"/>
        <v>0.26598818749999964</v>
      </c>
      <c r="W21" s="17">
        <f t="shared" si="4"/>
        <v>0.1978190625000007</v>
      </c>
      <c r="X21" s="17">
        <f t="shared" si="4"/>
        <v>0.14127927500000048</v>
      </c>
    </row>
    <row r="22" spans="1:48">
      <c r="B22" s="3"/>
    </row>
    <row r="23" spans="1:48">
      <c r="B23" s="3"/>
      <c r="N23" s="3"/>
      <c r="O23" s="12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  <row r="24" spans="1:48">
      <c r="N24" s="3"/>
      <c r="O24" s="127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</row>
    <row r="25" spans="1:48">
      <c r="B25" t="s">
        <v>16</v>
      </c>
      <c r="C25" t="s">
        <v>17</v>
      </c>
      <c r="D25" s="309" t="s">
        <v>18</v>
      </c>
      <c r="E25" t="s">
        <v>19</v>
      </c>
      <c r="I25" t="s">
        <v>16</v>
      </c>
      <c r="J25" s="309" t="s">
        <v>21</v>
      </c>
      <c r="N25" s="3"/>
      <c r="O25" s="127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</row>
    <row r="26" spans="1:48">
      <c r="B26" s="3">
        <v>44196</v>
      </c>
      <c r="D26" s="17">
        <v>4.1983864460810967</v>
      </c>
      <c r="E26" s="17"/>
      <c r="F26" s="17">
        <v>158.99</v>
      </c>
      <c r="I26" s="3">
        <v>43739</v>
      </c>
      <c r="J26">
        <v>0.26300000000000001</v>
      </c>
      <c r="M26" s="8"/>
      <c r="N26" s="3"/>
      <c r="O26" s="127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</row>
    <row r="27" spans="1:48">
      <c r="B27" s="3">
        <v>44280</v>
      </c>
      <c r="D27" s="17">
        <v>4.2599787220505467</v>
      </c>
      <c r="E27" s="17"/>
      <c r="F27" s="17">
        <v>202.32700000000003</v>
      </c>
      <c r="I27" s="3">
        <v>43770</v>
      </c>
      <c r="J27">
        <v>0</v>
      </c>
      <c r="M27" s="3"/>
      <c r="N27" s="3"/>
      <c r="O27" s="12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</row>
    <row r="28" spans="1:48">
      <c r="B28" s="3">
        <v>44371</v>
      </c>
      <c r="D28" s="17">
        <v>4.5</v>
      </c>
      <c r="E28" s="17"/>
      <c r="F28" s="17">
        <v>257.93400000000003</v>
      </c>
      <c r="I28" s="3">
        <v>43800</v>
      </c>
      <c r="J28">
        <v>0.49299999999999999</v>
      </c>
      <c r="M28" s="3"/>
      <c r="N28" s="3"/>
      <c r="O28" s="12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</row>
    <row r="29" spans="1:48">
      <c r="B29" s="3">
        <v>44560</v>
      </c>
      <c r="D29" s="17">
        <v>4.5</v>
      </c>
      <c r="E29" s="17"/>
      <c r="F29" s="17">
        <v>341.94400000000002</v>
      </c>
      <c r="I29" s="3">
        <v>43831</v>
      </c>
      <c r="J29">
        <v>3.3050000000000002</v>
      </c>
      <c r="M29" s="3"/>
      <c r="N29" s="3"/>
      <c r="O29" s="12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</row>
    <row r="30" spans="1:48">
      <c r="B30" s="3">
        <v>44742</v>
      </c>
      <c r="D30" s="17">
        <v>4.5799999999999992</v>
      </c>
      <c r="E30" s="17"/>
      <c r="F30" s="17">
        <v>453.685</v>
      </c>
      <c r="I30" s="3">
        <v>43862</v>
      </c>
      <c r="J30">
        <v>16.809000000000001</v>
      </c>
      <c r="M30" s="3"/>
      <c r="N30" s="3"/>
      <c r="O30" s="12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</row>
    <row r="31" spans="1:48">
      <c r="B31" s="3">
        <v>44924</v>
      </c>
      <c r="D31" s="17">
        <v>4.5799999999999992</v>
      </c>
      <c r="E31" s="17"/>
      <c r="F31" s="17">
        <v>541.40000000000009</v>
      </c>
      <c r="I31" s="3">
        <v>43891</v>
      </c>
      <c r="J31">
        <v>17.337</v>
      </c>
      <c r="M31" s="3"/>
      <c r="N31" s="3"/>
      <c r="O31" s="127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</row>
    <row r="32" spans="1:48">
      <c r="B32" s="3">
        <v>45105</v>
      </c>
      <c r="D32" s="291">
        <f>'Summary Sheet'!$C$5*100</f>
        <v>6.5</v>
      </c>
      <c r="E32" s="17"/>
      <c r="F32" s="17">
        <v>653.14099999999996</v>
      </c>
      <c r="G32" s="17">
        <v>111.74099999999987</v>
      </c>
      <c r="I32" s="3">
        <v>43922</v>
      </c>
      <c r="J32">
        <v>0</v>
      </c>
      <c r="M32" s="3"/>
      <c r="N32" s="3"/>
      <c r="O32" s="127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</row>
    <row r="33" spans="2:48">
      <c r="B33" s="3">
        <v>45288</v>
      </c>
      <c r="D33" s="291">
        <f>'Summary Sheet'!$C$5*100</f>
        <v>6.5</v>
      </c>
      <c r="E33" s="17"/>
      <c r="F33" s="17">
        <v>740.85599999999999</v>
      </c>
      <c r="G33" s="17">
        <v>87.715000000000032</v>
      </c>
      <c r="I33" s="3">
        <v>43952</v>
      </c>
      <c r="J33">
        <v>1.5920000000000001</v>
      </c>
      <c r="M33" s="3"/>
      <c r="N33" s="3"/>
      <c r="O33" s="127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</row>
    <row r="34" spans="2:48">
      <c r="B34" s="3">
        <v>46021</v>
      </c>
      <c r="D34" s="291">
        <f>'Summary Sheet'!$C$5*100</f>
        <v>6.5</v>
      </c>
      <c r="E34" s="17"/>
      <c r="F34" s="17">
        <v>1139.7679999999998</v>
      </c>
      <c r="G34" s="17">
        <v>398.91199999999981</v>
      </c>
      <c r="I34" s="3">
        <v>43983</v>
      </c>
      <c r="J34">
        <v>46.679000000000002</v>
      </c>
      <c r="M34" s="3"/>
      <c r="N34" s="3"/>
      <c r="O34" s="12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2:48">
      <c r="B35" s="3"/>
      <c r="D35" s="17"/>
      <c r="E35" s="17"/>
      <c r="F35" s="17"/>
      <c r="G35" s="17"/>
      <c r="I35" s="3">
        <v>44013</v>
      </c>
      <c r="J35">
        <v>42.170999999999999</v>
      </c>
      <c r="M35" s="3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2:48">
      <c r="B36" s="3"/>
      <c r="D36" s="17"/>
      <c r="E36" s="17"/>
      <c r="F36" s="17"/>
      <c r="G36" s="17"/>
      <c r="I36" s="3">
        <v>44044</v>
      </c>
      <c r="J36">
        <v>13.680999999999999</v>
      </c>
      <c r="M36" s="3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2:48">
      <c r="B37" s="3"/>
      <c r="D37" s="17"/>
      <c r="E37" s="17"/>
      <c r="F37" s="17"/>
      <c r="G37" s="17"/>
      <c r="I37" s="3">
        <v>44075</v>
      </c>
      <c r="J37">
        <v>3.6890000000000001</v>
      </c>
      <c r="M37" s="3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2:48">
      <c r="B38" s="3"/>
      <c r="D38" s="17"/>
      <c r="E38" s="17"/>
      <c r="F38" s="17"/>
      <c r="G38" s="17"/>
      <c r="I38" s="3">
        <v>44105</v>
      </c>
      <c r="J38">
        <v>12.382</v>
      </c>
      <c r="M38" s="3"/>
    </row>
    <row r="39" spans="2:48">
      <c r="B39" s="3"/>
      <c r="D39" s="17"/>
      <c r="E39" s="17"/>
      <c r="F39" s="17"/>
      <c r="G39" s="17"/>
      <c r="I39" s="3">
        <v>44136</v>
      </c>
      <c r="J39">
        <v>0</v>
      </c>
      <c r="M39" s="3"/>
    </row>
    <row r="40" spans="2:48">
      <c r="B40" s="3"/>
      <c r="D40" s="17"/>
      <c r="E40" s="17"/>
      <c r="F40" s="17"/>
      <c r="G40" s="17"/>
      <c r="I40" s="3">
        <v>44166</v>
      </c>
      <c r="J40">
        <v>0.58899999999999997</v>
      </c>
      <c r="M40" s="3"/>
    </row>
    <row r="41" spans="2:48">
      <c r="B41" s="3"/>
      <c r="D41" s="17"/>
      <c r="E41" s="17"/>
      <c r="F41" s="17"/>
      <c r="G41" s="17"/>
      <c r="I41" s="3">
        <v>44197</v>
      </c>
      <c r="J41">
        <v>3.8170000000000002</v>
      </c>
      <c r="M41" s="3"/>
    </row>
    <row r="42" spans="2:48">
      <c r="B42" s="3"/>
      <c r="D42" s="17"/>
      <c r="E42" s="17"/>
      <c r="F42" s="17"/>
      <c r="G42" s="17"/>
      <c r="I42" s="3">
        <v>44228</v>
      </c>
      <c r="J42">
        <v>18.483000000000001</v>
      </c>
      <c r="M42" s="3"/>
    </row>
    <row r="43" spans="2:48">
      <c r="B43" s="3"/>
      <c r="D43" s="17"/>
      <c r="E43" s="17"/>
      <c r="F43" s="17"/>
      <c r="G43" s="17"/>
      <c r="I43" s="3">
        <v>44256</v>
      </c>
      <c r="J43">
        <v>21.036999999999999</v>
      </c>
      <c r="M43" s="3"/>
    </row>
    <row r="44" spans="2:48">
      <c r="I44" s="3">
        <v>44287</v>
      </c>
      <c r="J44">
        <v>0</v>
      </c>
      <c r="M44" s="3"/>
    </row>
    <row r="45" spans="2:48">
      <c r="I45" s="3">
        <v>44317</v>
      </c>
      <c r="J45">
        <v>14.833</v>
      </c>
      <c r="M45" s="3"/>
    </row>
    <row r="46" spans="2:48">
      <c r="I46" s="3">
        <v>44348</v>
      </c>
      <c r="J46">
        <v>40.774000000000001</v>
      </c>
      <c r="M46" s="3"/>
    </row>
    <row r="47" spans="2:48">
      <c r="I47" s="3">
        <v>44378</v>
      </c>
      <c r="J47">
        <v>49.462000000000003</v>
      </c>
      <c r="M47" s="3"/>
    </row>
    <row r="48" spans="2:48">
      <c r="I48" s="3">
        <v>44409</v>
      </c>
      <c r="J48">
        <v>16.617999999999999</v>
      </c>
      <c r="M48" s="3"/>
    </row>
    <row r="49" spans="9:13">
      <c r="I49" s="3">
        <v>44440</v>
      </c>
      <c r="J49">
        <v>3.7850000000000001</v>
      </c>
      <c r="M49" s="3"/>
    </row>
    <row r="50" spans="9:13">
      <c r="I50" s="3">
        <v>44470</v>
      </c>
      <c r="J50">
        <v>13.452</v>
      </c>
      <c r="M50" s="3"/>
    </row>
    <row r="51" spans="9:13">
      <c r="I51" s="3">
        <v>44501</v>
      </c>
      <c r="J51">
        <v>0</v>
      </c>
      <c r="M51" s="3"/>
    </row>
    <row r="52" spans="9:13">
      <c r="I52" s="3">
        <v>44531</v>
      </c>
      <c r="J52">
        <v>0.69299999999999995</v>
      </c>
      <c r="M52" s="3"/>
    </row>
    <row r="53" spans="9:13">
      <c r="I53" s="3">
        <v>44562</v>
      </c>
      <c r="J53">
        <v>4.3479999999999999</v>
      </c>
      <c r="M53" s="3"/>
    </row>
    <row r="54" spans="9:13">
      <c r="I54" s="3">
        <v>44593</v>
      </c>
      <c r="J54">
        <v>19.448</v>
      </c>
      <c r="M54" s="3"/>
    </row>
    <row r="55" spans="9:13">
      <c r="I55" s="3">
        <v>44621</v>
      </c>
      <c r="J55">
        <v>21.693000000000001</v>
      </c>
      <c r="M55" s="3"/>
    </row>
    <row r="56" spans="9:13">
      <c r="I56" s="3">
        <v>44652</v>
      </c>
      <c r="J56">
        <v>0</v>
      </c>
      <c r="M56" s="3"/>
    </row>
    <row r="57" spans="9:13">
      <c r="I57" s="3">
        <v>44682</v>
      </c>
      <c r="J57">
        <v>25.89</v>
      </c>
      <c r="M57" s="3"/>
    </row>
    <row r="58" spans="9:13">
      <c r="I58" s="3">
        <v>44713</v>
      </c>
      <c r="J58">
        <v>40.362000000000002</v>
      </c>
      <c r="M58" s="3"/>
    </row>
    <row r="59" spans="9:13">
      <c r="I59" s="3">
        <v>44743</v>
      </c>
      <c r="J59">
        <v>49.877000000000002</v>
      </c>
      <c r="M59" s="3"/>
    </row>
    <row r="60" spans="9:13">
      <c r="I60" s="3">
        <v>44774</v>
      </c>
      <c r="J60">
        <v>18.690999999999999</v>
      </c>
      <c r="M60" s="3"/>
    </row>
    <row r="61" spans="9:13">
      <c r="I61" s="3">
        <v>44805</v>
      </c>
      <c r="J61">
        <v>3.9750000000000001</v>
      </c>
      <c r="M61" s="3"/>
    </row>
    <row r="62" spans="9:13">
      <c r="I62" s="3">
        <v>44835</v>
      </c>
      <c r="J62">
        <v>14.478999999999999</v>
      </c>
      <c r="M62" s="3"/>
    </row>
    <row r="63" spans="9:13">
      <c r="I63" s="3">
        <v>44866</v>
      </c>
      <c r="J63">
        <v>0</v>
      </c>
    </row>
    <row r="64" spans="9:13">
      <c r="I64" s="3">
        <v>44896</v>
      </c>
      <c r="J64">
        <v>0.69299999999999995</v>
      </c>
    </row>
    <row r="65" spans="9:10">
      <c r="I65" s="3">
        <v>44927</v>
      </c>
      <c r="J65">
        <v>4.3479999999999999</v>
      </c>
    </row>
    <row r="66" spans="9:10">
      <c r="I66" s="3">
        <v>44958</v>
      </c>
      <c r="J66">
        <v>19.448</v>
      </c>
    </row>
    <row r="67" spans="9:10">
      <c r="I67" s="3">
        <v>44986</v>
      </c>
      <c r="J67">
        <v>21.693000000000001</v>
      </c>
    </row>
    <row r="68" spans="9:10">
      <c r="I68" s="3">
        <v>45017</v>
      </c>
      <c r="J68">
        <v>0</v>
      </c>
    </row>
    <row r="69" spans="9:10">
      <c r="I69" s="3">
        <v>45047</v>
      </c>
      <c r="J69">
        <v>25.89</v>
      </c>
    </row>
    <row r="70" spans="9:10">
      <c r="I70" s="3">
        <v>45078</v>
      </c>
      <c r="J70">
        <v>40.362000000000002</v>
      </c>
    </row>
    <row r="71" spans="9:10">
      <c r="I71" s="3">
        <v>45108</v>
      </c>
      <c r="J71">
        <v>49.877000000000002</v>
      </c>
    </row>
    <row r="72" spans="9:10">
      <c r="I72" s="3">
        <v>45139</v>
      </c>
      <c r="J72">
        <v>18.690999999999999</v>
      </c>
    </row>
    <row r="73" spans="9:10">
      <c r="I73" s="3">
        <v>45170</v>
      </c>
      <c r="J73">
        <v>3.9750000000000001</v>
      </c>
    </row>
    <row r="74" spans="9:10">
      <c r="I74" s="3">
        <v>45200</v>
      </c>
      <c r="J74">
        <v>14.478999999999999</v>
      </c>
    </row>
    <row r="75" spans="9:10">
      <c r="I75" s="3">
        <v>45231</v>
      </c>
      <c r="J75">
        <v>0</v>
      </c>
    </row>
    <row r="76" spans="9:10">
      <c r="I76" s="3">
        <v>45261</v>
      </c>
      <c r="J76">
        <v>0.69299999999999995</v>
      </c>
    </row>
    <row r="77" spans="9:10">
      <c r="I77" s="3">
        <v>45292</v>
      </c>
      <c r="J77">
        <v>4.3479999999999999</v>
      </c>
    </row>
    <row r="78" spans="9:10">
      <c r="I78" s="3">
        <v>45323</v>
      </c>
      <c r="J78">
        <v>19.448</v>
      </c>
    </row>
    <row r="79" spans="9:10">
      <c r="I79" s="3">
        <v>45351</v>
      </c>
      <c r="J79">
        <v>21.693000000000001</v>
      </c>
    </row>
    <row r="80" spans="9:10">
      <c r="I80" s="3">
        <v>45382</v>
      </c>
      <c r="J80">
        <v>0</v>
      </c>
    </row>
    <row r="81" spans="9:10">
      <c r="I81" s="3">
        <v>45412</v>
      </c>
      <c r="J81">
        <v>25.89</v>
      </c>
    </row>
    <row r="82" spans="9:10">
      <c r="I82" s="3">
        <v>45443</v>
      </c>
      <c r="J82">
        <v>40.362000000000002</v>
      </c>
    </row>
    <row r="83" spans="9:10">
      <c r="I83" s="3">
        <v>45473</v>
      </c>
      <c r="J83">
        <v>49.877000000000002</v>
      </c>
    </row>
    <row r="84" spans="9:10">
      <c r="I84" s="3">
        <v>45504</v>
      </c>
      <c r="J84">
        <v>18.690999999999999</v>
      </c>
    </row>
    <row r="85" spans="9:10">
      <c r="I85" s="3">
        <v>45535</v>
      </c>
      <c r="J85">
        <v>3.9750000000000001</v>
      </c>
    </row>
    <row r="86" spans="9:10">
      <c r="I86" s="3">
        <v>45565</v>
      </c>
      <c r="J86">
        <v>14.478999999999999</v>
      </c>
    </row>
    <row r="87" spans="9:10">
      <c r="I87" s="3">
        <v>45596</v>
      </c>
      <c r="J87">
        <v>0</v>
      </c>
    </row>
    <row r="88" spans="9:10">
      <c r="I88" s="3">
        <v>45626</v>
      </c>
      <c r="J88">
        <v>0.69299999999999995</v>
      </c>
    </row>
    <row r="89" spans="9:10">
      <c r="I89" s="3">
        <v>45657</v>
      </c>
      <c r="J89">
        <v>4.3479999999999999</v>
      </c>
    </row>
    <row r="90" spans="9:10">
      <c r="I90" s="3">
        <v>45688</v>
      </c>
      <c r="J90">
        <v>19.448</v>
      </c>
    </row>
    <row r="91" spans="9:10">
      <c r="I91" s="3">
        <v>45716</v>
      </c>
      <c r="J91">
        <v>21.693000000000001</v>
      </c>
    </row>
    <row r="92" spans="9:10">
      <c r="I92" s="3">
        <v>45747</v>
      </c>
      <c r="J92">
        <v>0</v>
      </c>
    </row>
    <row r="93" spans="9:10">
      <c r="I93" s="3">
        <v>45777</v>
      </c>
      <c r="J93">
        <v>25.89</v>
      </c>
    </row>
    <row r="94" spans="9:10">
      <c r="I94" s="3">
        <v>45808</v>
      </c>
      <c r="J94">
        <v>40.362000000000002</v>
      </c>
    </row>
    <row r="95" spans="9:10">
      <c r="I95" s="3">
        <v>45838</v>
      </c>
      <c r="J95">
        <v>49.877000000000002</v>
      </c>
    </row>
    <row r="96" spans="9:10">
      <c r="I96" s="3">
        <v>45869</v>
      </c>
      <c r="J96">
        <v>18.690999999999999</v>
      </c>
    </row>
    <row r="97" spans="9:10">
      <c r="I97" s="3">
        <v>45900</v>
      </c>
      <c r="J97">
        <v>3.9750000000000001</v>
      </c>
    </row>
    <row r="98" spans="9:10">
      <c r="I98" s="3">
        <v>45930</v>
      </c>
      <c r="J98">
        <v>14.478999999999999</v>
      </c>
    </row>
    <row r="99" spans="9:10">
      <c r="I99" s="3">
        <v>45961</v>
      </c>
      <c r="J99">
        <v>0</v>
      </c>
    </row>
    <row r="100" spans="9:10">
      <c r="I100" s="3">
        <v>45991</v>
      </c>
      <c r="J100">
        <v>0.69299999999999995</v>
      </c>
    </row>
    <row r="101" spans="9:10">
      <c r="I101" s="3">
        <v>46022</v>
      </c>
      <c r="J101">
        <v>4.3479999999999999</v>
      </c>
    </row>
    <row r="102" spans="9:10">
      <c r="I102" s="3">
        <v>46053</v>
      </c>
      <c r="J102">
        <v>19.448</v>
      </c>
    </row>
    <row r="103" spans="9:10">
      <c r="I103" s="3">
        <v>46081</v>
      </c>
      <c r="J103">
        <v>21.693000000000001</v>
      </c>
    </row>
    <row r="104" spans="9:10">
      <c r="I104" s="3">
        <v>46112</v>
      </c>
      <c r="J104">
        <v>0</v>
      </c>
    </row>
    <row r="105" spans="9:10">
      <c r="I105" s="3">
        <v>46142</v>
      </c>
      <c r="J105">
        <v>25.89</v>
      </c>
    </row>
    <row r="106" spans="9:10">
      <c r="I106" s="3">
        <v>46173</v>
      </c>
      <c r="J106">
        <v>40.362000000000002</v>
      </c>
    </row>
    <row r="107" spans="9:10">
      <c r="I107" s="3">
        <v>46203</v>
      </c>
      <c r="J107">
        <v>49.877000000000002</v>
      </c>
    </row>
    <row r="108" spans="9:10">
      <c r="I108" s="3">
        <v>46234</v>
      </c>
      <c r="J108">
        <v>18.690999999999999</v>
      </c>
    </row>
    <row r="109" spans="9:10">
      <c r="I109" s="3">
        <v>46265</v>
      </c>
      <c r="J109">
        <v>3.9750000000000001</v>
      </c>
    </row>
    <row r="110" spans="9:10">
      <c r="I110" s="3">
        <v>46295</v>
      </c>
      <c r="J110">
        <v>14.478999999999999</v>
      </c>
    </row>
    <row r="111" spans="9:10">
      <c r="I111" s="3">
        <v>46326</v>
      </c>
      <c r="J111">
        <v>0</v>
      </c>
    </row>
    <row r="112" spans="9:10">
      <c r="I112" s="3">
        <v>46356</v>
      </c>
      <c r="J112">
        <v>0.69299999999999995</v>
      </c>
    </row>
    <row r="113" spans="9:10">
      <c r="I113" s="3">
        <v>46387</v>
      </c>
      <c r="J113">
        <v>4.3479999999999999</v>
      </c>
    </row>
    <row r="114" spans="9:10">
      <c r="I114" s="3">
        <v>46418</v>
      </c>
      <c r="J114">
        <v>19.448</v>
      </c>
    </row>
    <row r="115" spans="9:10">
      <c r="I115" s="3">
        <v>46446</v>
      </c>
      <c r="J115">
        <v>21.693000000000001</v>
      </c>
    </row>
    <row r="116" spans="9:10">
      <c r="I116" s="3">
        <v>46477</v>
      </c>
      <c r="J116">
        <v>0</v>
      </c>
    </row>
    <row r="117" spans="9:10">
      <c r="I117" s="3">
        <v>46507</v>
      </c>
      <c r="J117">
        <v>25.89</v>
      </c>
    </row>
    <row r="118" spans="9:10">
      <c r="I118" s="3">
        <v>46538</v>
      </c>
      <c r="J118">
        <v>40.362000000000002</v>
      </c>
    </row>
    <row r="119" spans="9:10">
      <c r="I119" s="3">
        <v>46568</v>
      </c>
      <c r="J119">
        <v>49.877000000000002</v>
      </c>
    </row>
    <row r="120" spans="9:10">
      <c r="I120" s="3">
        <v>46599</v>
      </c>
      <c r="J120">
        <v>18.690999999999999</v>
      </c>
    </row>
    <row r="121" spans="9:10">
      <c r="I121" s="3">
        <v>46630</v>
      </c>
      <c r="J121">
        <v>3.9750000000000001</v>
      </c>
    </row>
    <row r="122" spans="9:10">
      <c r="I122" s="3">
        <v>46660</v>
      </c>
      <c r="J122">
        <v>14.478999999999999</v>
      </c>
    </row>
    <row r="123" spans="9:10">
      <c r="I123" s="3">
        <v>46691</v>
      </c>
      <c r="J123">
        <v>0</v>
      </c>
    </row>
    <row r="124" spans="9:10">
      <c r="I124" s="3">
        <v>46721</v>
      </c>
      <c r="J124">
        <v>0.69299999999999995</v>
      </c>
    </row>
    <row r="125" spans="9:10">
      <c r="I125" s="3">
        <v>46752</v>
      </c>
      <c r="J125">
        <v>4.3479999999999999</v>
      </c>
    </row>
    <row r="126" spans="9:10">
      <c r="I126" s="3">
        <v>46783</v>
      </c>
      <c r="J126">
        <v>19.448</v>
      </c>
    </row>
    <row r="127" spans="9:10">
      <c r="I127" s="3">
        <v>46811</v>
      </c>
      <c r="J127">
        <v>21.693000000000001</v>
      </c>
    </row>
    <row r="128" spans="9:10">
      <c r="I128" s="3">
        <v>46842</v>
      </c>
      <c r="J128">
        <v>0</v>
      </c>
    </row>
    <row r="129" spans="9:10">
      <c r="I129" s="3">
        <v>46872</v>
      </c>
      <c r="J129">
        <v>25.89</v>
      </c>
    </row>
    <row r="130" spans="9:10">
      <c r="I130" s="3">
        <v>46903</v>
      </c>
      <c r="J130">
        <v>40.362000000000002</v>
      </c>
    </row>
    <row r="131" spans="9:10">
      <c r="I131" s="3">
        <v>46933</v>
      </c>
      <c r="J131">
        <v>49.877000000000002</v>
      </c>
    </row>
    <row r="132" spans="9:10">
      <c r="I132" s="3">
        <v>46964</v>
      </c>
      <c r="J132">
        <v>18.690999999999999</v>
      </c>
    </row>
    <row r="133" spans="9:10">
      <c r="I133" s="3">
        <v>46995</v>
      </c>
      <c r="J133">
        <v>3.9750000000000001</v>
      </c>
    </row>
    <row r="134" spans="9:10">
      <c r="I134" s="3">
        <v>47025</v>
      </c>
      <c r="J134">
        <v>14.478999999999999</v>
      </c>
    </row>
    <row r="135" spans="9:10">
      <c r="I135" s="3">
        <v>47056</v>
      </c>
      <c r="J135">
        <v>0</v>
      </c>
    </row>
    <row r="136" spans="9:10">
      <c r="I136" s="3">
        <v>47086</v>
      </c>
      <c r="J136">
        <v>0.69299999999999995</v>
      </c>
    </row>
    <row r="137" spans="9:10">
      <c r="I137" s="3">
        <v>47117</v>
      </c>
      <c r="J137">
        <v>4.3479999999999999</v>
      </c>
    </row>
    <row r="138" spans="9:10">
      <c r="I138" s="3">
        <v>47148</v>
      </c>
      <c r="J138">
        <v>19.448</v>
      </c>
    </row>
    <row r="139" spans="9:10">
      <c r="I139" s="3">
        <v>47176</v>
      </c>
      <c r="J139">
        <v>21.693000000000001</v>
      </c>
    </row>
    <row r="140" spans="9:10">
      <c r="I140" s="3">
        <v>47207</v>
      </c>
      <c r="J140">
        <v>0</v>
      </c>
    </row>
    <row r="141" spans="9:10">
      <c r="I141" s="3">
        <v>47237</v>
      </c>
      <c r="J141">
        <v>25.89</v>
      </c>
    </row>
    <row r="142" spans="9:10">
      <c r="I142" s="3">
        <v>47268</v>
      </c>
      <c r="J142">
        <v>40.362000000000002</v>
      </c>
    </row>
    <row r="143" spans="9:10">
      <c r="I143" s="3">
        <v>47298</v>
      </c>
      <c r="J143">
        <v>49.877000000000002</v>
      </c>
    </row>
    <row r="144" spans="9:10">
      <c r="I144" s="3">
        <v>47329</v>
      </c>
      <c r="J144">
        <v>18.690999999999999</v>
      </c>
    </row>
    <row r="145" spans="9:9">
      <c r="I145" s="3"/>
    </row>
    <row r="146" spans="9:9">
      <c r="I146" s="3"/>
    </row>
    <row r="147" spans="9:9">
      <c r="I147" s="3"/>
    </row>
    <row r="148" spans="9:9">
      <c r="I148" s="3"/>
    </row>
    <row r="149" spans="9:9">
      <c r="I149" s="3"/>
    </row>
    <row r="150" spans="9:9">
      <c r="I150" s="3"/>
    </row>
    <row r="151" spans="9:9">
      <c r="I151" s="3"/>
    </row>
    <row r="152" spans="9:9">
      <c r="I152" s="3"/>
    </row>
    <row r="153" spans="9:9">
      <c r="I153" s="3"/>
    </row>
    <row r="154" spans="9:9">
      <c r="I154" s="3"/>
    </row>
    <row r="155" spans="9:9">
      <c r="I155" s="3"/>
    </row>
    <row r="156" spans="9:9">
      <c r="I156" s="3"/>
    </row>
    <row r="157" spans="9:9">
      <c r="I157" s="3"/>
    </row>
    <row r="158" spans="9:9">
      <c r="I158" s="3"/>
    </row>
    <row r="159" spans="9:9">
      <c r="I159" s="3"/>
    </row>
    <row r="160" spans="9:9">
      <c r="I160" s="3"/>
    </row>
    <row r="161" spans="9:9">
      <c r="I161" s="3"/>
    </row>
    <row r="162" spans="9:9">
      <c r="I162" s="3"/>
    </row>
    <row r="163" spans="9:9">
      <c r="I163" s="3"/>
    </row>
    <row r="164" spans="9:9">
      <c r="I164" s="3"/>
    </row>
    <row r="165" spans="9:9">
      <c r="I165" s="3"/>
    </row>
    <row r="166" spans="9:9">
      <c r="I166" s="3"/>
    </row>
    <row r="167" spans="9:9">
      <c r="I167" s="3"/>
    </row>
    <row r="168" spans="9:9">
      <c r="I168" s="3"/>
    </row>
    <row r="169" spans="9:9">
      <c r="I169" s="3"/>
    </row>
    <row r="170" spans="9:9">
      <c r="I170" s="3"/>
    </row>
    <row r="171" spans="9:9">
      <c r="I171" s="3"/>
    </row>
    <row r="172" spans="9:9">
      <c r="I172" s="3"/>
    </row>
    <row r="173" spans="9:9">
      <c r="I173" s="3"/>
    </row>
    <row r="174" spans="9:9">
      <c r="I174" s="3"/>
    </row>
    <row r="175" spans="9:9">
      <c r="I175" s="3"/>
    </row>
    <row r="176" spans="9:9">
      <c r="I176" s="3"/>
    </row>
    <row r="177" spans="9:9">
      <c r="I177" s="3"/>
    </row>
    <row r="178" spans="9:9">
      <c r="I178" s="3"/>
    </row>
    <row r="179" spans="9:9">
      <c r="I179" s="3"/>
    </row>
    <row r="180" spans="9:9">
      <c r="I180" s="3"/>
    </row>
    <row r="181" spans="9:9">
      <c r="I181" s="3"/>
    </row>
    <row r="182" spans="9:9">
      <c r="I182" s="3"/>
    </row>
    <row r="183" spans="9:9">
      <c r="I183" s="3"/>
    </row>
    <row r="184" spans="9:9">
      <c r="I184" s="3"/>
    </row>
    <row r="185" spans="9:9">
      <c r="I185" s="3"/>
    </row>
    <row r="186" spans="9:9">
      <c r="I186" s="3"/>
    </row>
    <row r="187" spans="9:9">
      <c r="I187" s="3"/>
    </row>
    <row r="188" spans="9:9">
      <c r="I188" s="3"/>
    </row>
    <row r="189" spans="9:9">
      <c r="I189" s="3"/>
    </row>
    <row r="190" spans="9:9">
      <c r="I190" s="3"/>
    </row>
    <row r="191" spans="9:9">
      <c r="I191" s="3"/>
    </row>
    <row r="192" spans="9:9">
      <c r="I192" s="3"/>
    </row>
    <row r="193" spans="9:9">
      <c r="I193" s="3"/>
    </row>
    <row r="194" spans="9:9">
      <c r="I194" s="3"/>
    </row>
    <row r="195" spans="9:9">
      <c r="I195" s="3"/>
    </row>
    <row r="196" spans="9:9">
      <c r="I196" s="3"/>
    </row>
    <row r="197" spans="9:9">
      <c r="I197" s="3"/>
    </row>
    <row r="198" spans="9:9">
      <c r="I198" s="3"/>
    </row>
    <row r="199" spans="9:9">
      <c r="I199" s="3"/>
    </row>
    <row r="200" spans="9:9">
      <c r="I200" s="3"/>
    </row>
    <row r="201" spans="9:9">
      <c r="I201" s="3"/>
    </row>
    <row r="202" spans="9:9">
      <c r="I202" s="3"/>
    </row>
    <row r="203" spans="9:9">
      <c r="I203" s="3"/>
    </row>
    <row r="204" spans="9:9">
      <c r="I204" s="3"/>
    </row>
    <row r="205" spans="9:9">
      <c r="I205" s="3"/>
    </row>
    <row r="206" spans="9:9">
      <c r="I206" s="3"/>
    </row>
    <row r="207" spans="9:9">
      <c r="I207" s="3"/>
    </row>
    <row r="208" spans="9:9">
      <c r="I208" s="3"/>
    </row>
    <row r="209" spans="9:9">
      <c r="I209" s="3"/>
    </row>
    <row r="210" spans="9:9">
      <c r="I210" s="3"/>
    </row>
    <row r="211" spans="9:9">
      <c r="I211" s="3"/>
    </row>
    <row r="212" spans="9:9">
      <c r="I212" s="3"/>
    </row>
    <row r="213" spans="9:9">
      <c r="I213" s="3"/>
    </row>
    <row r="214" spans="9:9">
      <c r="I214" s="3"/>
    </row>
    <row r="215" spans="9:9">
      <c r="I215" s="3"/>
    </row>
    <row r="216" spans="9:9">
      <c r="I216" s="3"/>
    </row>
    <row r="217" spans="9:9">
      <c r="I217" s="3"/>
    </row>
    <row r="218" spans="9:9">
      <c r="I218" s="3"/>
    </row>
    <row r="219" spans="9:9">
      <c r="I219" s="3"/>
    </row>
    <row r="220" spans="9:9">
      <c r="I220" s="3"/>
    </row>
    <row r="221" spans="9:9">
      <c r="I221" s="3"/>
    </row>
    <row r="222" spans="9:9">
      <c r="I222" s="3"/>
    </row>
    <row r="223" spans="9:9">
      <c r="I223" s="3"/>
    </row>
    <row r="224" spans="9:9">
      <c r="I224" s="3"/>
    </row>
    <row r="225" spans="9:9">
      <c r="I225" s="3"/>
    </row>
    <row r="226" spans="9:9">
      <c r="I226" s="3"/>
    </row>
    <row r="227" spans="9:9">
      <c r="I227" s="3"/>
    </row>
    <row r="228" spans="9:9">
      <c r="I228" s="3"/>
    </row>
    <row r="229" spans="9:9">
      <c r="I229" s="3"/>
    </row>
    <row r="230" spans="9:9">
      <c r="I230" s="3"/>
    </row>
    <row r="231" spans="9:9">
      <c r="I231" s="3"/>
    </row>
    <row r="232" spans="9:9">
      <c r="I232" s="3"/>
    </row>
    <row r="233" spans="9:9">
      <c r="I233" s="3"/>
    </row>
    <row r="234" spans="9:9">
      <c r="I234" s="3"/>
    </row>
    <row r="235" spans="9:9">
      <c r="I235" s="3"/>
    </row>
    <row r="236" spans="9:9">
      <c r="I236" s="3"/>
    </row>
    <row r="237" spans="9:9">
      <c r="I237" s="3"/>
    </row>
    <row r="238" spans="9:9">
      <c r="I238" s="3"/>
    </row>
    <row r="239" spans="9:9">
      <c r="I239" s="3"/>
    </row>
    <row r="240" spans="9:9">
      <c r="I240" s="3"/>
    </row>
    <row r="241" spans="9:9">
      <c r="I241" s="3"/>
    </row>
    <row r="242" spans="9:9">
      <c r="I242" s="3"/>
    </row>
    <row r="243" spans="9:9">
      <c r="I243" s="3"/>
    </row>
    <row r="244" spans="9:9">
      <c r="I244" s="3"/>
    </row>
    <row r="245" spans="9:9">
      <c r="I245" s="3"/>
    </row>
    <row r="246" spans="9:9">
      <c r="I246" s="3"/>
    </row>
    <row r="247" spans="9:9">
      <c r="I247" s="3"/>
    </row>
    <row r="248" spans="9:9">
      <c r="I248" s="3"/>
    </row>
    <row r="249" spans="9:9">
      <c r="I249" s="3"/>
    </row>
    <row r="250" spans="9:9">
      <c r="I250" s="3"/>
    </row>
    <row r="251" spans="9:9">
      <c r="I251" s="3"/>
    </row>
    <row r="252" spans="9:9">
      <c r="I252" s="3"/>
    </row>
    <row r="253" spans="9:9">
      <c r="I253" s="3"/>
    </row>
    <row r="254" spans="9:9">
      <c r="I254" s="3"/>
    </row>
    <row r="255" spans="9:9">
      <c r="I255" s="3"/>
    </row>
    <row r="256" spans="9:9">
      <c r="I256" s="3"/>
    </row>
    <row r="257" spans="9:9">
      <c r="I257" s="3"/>
    </row>
    <row r="258" spans="9:9">
      <c r="I258" s="3"/>
    </row>
    <row r="259" spans="9:9">
      <c r="I259" s="3"/>
    </row>
    <row r="260" spans="9:9">
      <c r="I260" s="3"/>
    </row>
    <row r="261" spans="9:9">
      <c r="I261" s="3"/>
    </row>
    <row r="262" spans="9:9">
      <c r="I262" s="3"/>
    </row>
    <row r="263" spans="9:9">
      <c r="I263" s="3"/>
    </row>
    <row r="264" spans="9:9">
      <c r="I264" s="3"/>
    </row>
    <row r="265" spans="9:9">
      <c r="I265" s="3"/>
    </row>
    <row r="266" spans="9:9">
      <c r="I266" s="3"/>
    </row>
    <row r="267" spans="9:9">
      <c r="I267" s="3"/>
    </row>
    <row r="268" spans="9:9">
      <c r="I268" s="3"/>
    </row>
    <row r="269" spans="9:9">
      <c r="I269" s="3"/>
    </row>
    <row r="270" spans="9:9">
      <c r="I270" s="3"/>
    </row>
    <row r="271" spans="9:9">
      <c r="I271" s="3"/>
    </row>
    <row r="272" spans="9:9">
      <c r="I272" s="3"/>
    </row>
    <row r="273" spans="9:9">
      <c r="I273" s="3"/>
    </row>
    <row r="274" spans="9:9">
      <c r="I274" s="3"/>
    </row>
    <row r="275" spans="9:9">
      <c r="I275" s="3"/>
    </row>
    <row r="276" spans="9:9">
      <c r="I276" s="3"/>
    </row>
    <row r="277" spans="9:9">
      <c r="I277" s="3"/>
    </row>
    <row r="278" spans="9:9">
      <c r="I278" s="3"/>
    </row>
    <row r="279" spans="9:9">
      <c r="I279" s="3"/>
    </row>
    <row r="280" spans="9:9">
      <c r="I280" s="3"/>
    </row>
    <row r="281" spans="9:9">
      <c r="I281" s="3"/>
    </row>
    <row r="282" spans="9:9">
      <c r="I282" s="3"/>
    </row>
    <row r="283" spans="9:9">
      <c r="I283" s="3"/>
    </row>
    <row r="284" spans="9:9">
      <c r="I284" s="3"/>
    </row>
    <row r="285" spans="9:9">
      <c r="I285" s="3"/>
    </row>
    <row r="286" spans="9:9">
      <c r="I286" s="3"/>
    </row>
    <row r="287" spans="9:9">
      <c r="I287" s="3"/>
    </row>
    <row r="288" spans="9:9">
      <c r="I288" s="3"/>
    </row>
    <row r="289" spans="9:9">
      <c r="I289" s="3"/>
    </row>
    <row r="290" spans="9:9">
      <c r="I290" s="3"/>
    </row>
    <row r="291" spans="9:9">
      <c r="I291" s="3"/>
    </row>
    <row r="292" spans="9:9">
      <c r="I292" s="3"/>
    </row>
    <row r="293" spans="9:9">
      <c r="I293" s="3"/>
    </row>
    <row r="294" spans="9:9">
      <c r="I294" s="3"/>
    </row>
    <row r="295" spans="9:9">
      <c r="I295" s="3"/>
    </row>
    <row r="296" spans="9:9">
      <c r="I296" s="3"/>
    </row>
    <row r="297" spans="9:9">
      <c r="I297" s="3"/>
    </row>
    <row r="298" spans="9:9">
      <c r="I298" s="3"/>
    </row>
    <row r="299" spans="9:9">
      <c r="I299" s="3"/>
    </row>
    <row r="300" spans="9:9">
      <c r="I300" s="3"/>
    </row>
    <row r="301" spans="9:9">
      <c r="I301" s="3"/>
    </row>
    <row r="302" spans="9:9">
      <c r="I302" s="3"/>
    </row>
    <row r="303" spans="9:9">
      <c r="I303" s="3"/>
    </row>
    <row r="304" spans="9:9">
      <c r="I304" s="3"/>
    </row>
    <row r="305" spans="9:9">
      <c r="I305" s="3"/>
    </row>
    <row r="306" spans="9:9">
      <c r="I306" s="3"/>
    </row>
    <row r="307" spans="9:9">
      <c r="I307" s="3"/>
    </row>
    <row r="308" spans="9:9">
      <c r="I308" s="3"/>
    </row>
    <row r="309" spans="9:9">
      <c r="I309" s="3"/>
    </row>
    <row r="310" spans="9:9">
      <c r="I310" s="3"/>
    </row>
    <row r="311" spans="9:9">
      <c r="I311" s="3"/>
    </row>
    <row r="312" spans="9:9">
      <c r="I312" s="3"/>
    </row>
    <row r="313" spans="9:9">
      <c r="I313" s="3"/>
    </row>
    <row r="314" spans="9:9">
      <c r="I314" s="3"/>
    </row>
    <row r="315" spans="9:9">
      <c r="I315" s="3"/>
    </row>
    <row r="316" spans="9:9">
      <c r="I316" s="3"/>
    </row>
    <row r="317" spans="9:9">
      <c r="I317" s="3"/>
    </row>
    <row r="318" spans="9:9">
      <c r="I318" s="3"/>
    </row>
    <row r="319" spans="9:9">
      <c r="I319" s="3"/>
    </row>
    <row r="320" spans="9:9">
      <c r="I320" s="3"/>
    </row>
    <row r="321" spans="9:9">
      <c r="I321" s="3"/>
    </row>
    <row r="322" spans="9:9">
      <c r="I322" s="3"/>
    </row>
    <row r="323" spans="9:9">
      <c r="I323" s="3"/>
    </row>
    <row r="324" spans="9:9">
      <c r="I324" s="3"/>
    </row>
    <row r="325" spans="9:9">
      <c r="I325" s="3"/>
    </row>
    <row r="326" spans="9:9">
      <c r="I326" s="3"/>
    </row>
    <row r="327" spans="9:9">
      <c r="I327" s="3"/>
    </row>
    <row r="328" spans="9:9">
      <c r="I328" s="3"/>
    </row>
    <row r="329" spans="9:9">
      <c r="I329" s="3"/>
    </row>
    <row r="330" spans="9:9">
      <c r="I330" s="3"/>
    </row>
    <row r="331" spans="9:9">
      <c r="I331" s="3"/>
    </row>
    <row r="332" spans="9:9">
      <c r="I332" s="3"/>
    </row>
    <row r="333" spans="9:9">
      <c r="I333" s="3"/>
    </row>
    <row r="334" spans="9:9">
      <c r="I334" s="3"/>
    </row>
    <row r="335" spans="9:9">
      <c r="I335" s="3"/>
    </row>
    <row r="336" spans="9:9">
      <c r="I336" s="3"/>
    </row>
    <row r="337" spans="9:9">
      <c r="I337" s="3"/>
    </row>
    <row r="338" spans="9:9">
      <c r="I338" s="3"/>
    </row>
    <row r="339" spans="9:9">
      <c r="I339" s="3"/>
    </row>
    <row r="340" spans="9:9">
      <c r="I340" s="3"/>
    </row>
    <row r="341" spans="9:9">
      <c r="I341" s="3"/>
    </row>
    <row r="342" spans="9:9">
      <c r="I342" s="3"/>
    </row>
    <row r="343" spans="9:9">
      <c r="I343" s="3"/>
    </row>
    <row r="344" spans="9:9">
      <c r="I344" s="3"/>
    </row>
    <row r="345" spans="9:9">
      <c r="I345" s="3"/>
    </row>
    <row r="346" spans="9:9">
      <c r="I346" s="3"/>
    </row>
    <row r="347" spans="9:9">
      <c r="I347" s="3"/>
    </row>
    <row r="348" spans="9:9">
      <c r="I348" s="3"/>
    </row>
    <row r="349" spans="9:9">
      <c r="I349" s="3"/>
    </row>
    <row r="350" spans="9:9">
      <c r="I350" s="3"/>
    </row>
    <row r="351" spans="9:9">
      <c r="I351" s="3"/>
    </row>
    <row r="352" spans="9:9">
      <c r="I352" s="3"/>
    </row>
    <row r="353" spans="9:9">
      <c r="I353" s="3"/>
    </row>
    <row r="354" spans="9:9">
      <c r="I354" s="3"/>
    </row>
    <row r="355" spans="9:9">
      <c r="I355" s="3"/>
    </row>
    <row r="356" spans="9:9">
      <c r="I356" s="3"/>
    </row>
    <row r="357" spans="9:9">
      <c r="I357" s="3"/>
    </row>
    <row r="358" spans="9:9">
      <c r="I358" s="3"/>
    </row>
    <row r="359" spans="9:9">
      <c r="I359" s="3"/>
    </row>
    <row r="360" spans="9:9">
      <c r="I360" s="3"/>
    </row>
    <row r="361" spans="9:9">
      <c r="I361" s="3"/>
    </row>
    <row r="362" spans="9:9">
      <c r="I362" s="3"/>
    </row>
    <row r="363" spans="9:9">
      <c r="I363" s="3"/>
    </row>
    <row r="364" spans="9:9">
      <c r="I364" s="3"/>
    </row>
    <row r="365" spans="9:9">
      <c r="I365" s="3"/>
    </row>
    <row r="366" spans="9:9">
      <c r="I366" s="3"/>
    </row>
    <row r="367" spans="9:9">
      <c r="I367" s="3"/>
    </row>
    <row r="368" spans="9:9">
      <c r="I368" s="3"/>
    </row>
    <row r="369" spans="9:9">
      <c r="I369" s="3"/>
    </row>
    <row r="370" spans="9:9">
      <c r="I370" s="3"/>
    </row>
    <row r="371" spans="9:9">
      <c r="I371" s="3"/>
    </row>
    <row r="372" spans="9:9">
      <c r="I372" s="3"/>
    </row>
    <row r="373" spans="9:9">
      <c r="I373" s="3"/>
    </row>
    <row r="374" spans="9:9">
      <c r="I374" s="3"/>
    </row>
    <row r="375" spans="9:9">
      <c r="I375" s="3"/>
    </row>
    <row r="376" spans="9:9">
      <c r="I376" s="3"/>
    </row>
    <row r="377" spans="9:9">
      <c r="I377" s="3"/>
    </row>
    <row r="378" spans="9:9">
      <c r="I378" s="3"/>
    </row>
    <row r="379" spans="9:9">
      <c r="I379" s="3"/>
    </row>
    <row r="380" spans="9:9">
      <c r="I380" s="3"/>
    </row>
    <row r="381" spans="9:9">
      <c r="I381" s="3"/>
    </row>
    <row r="382" spans="9:9">
      <c r="I382" s="3"/>
    </row>
    <row r="383" spans="9:9">
      <c r="I383" s="3"/>
    </row>
    <row r="384" spans="9:9">
      <c r="I384" s="3"/>
    </row>
    <row r="385" spans="9:9">
      <c r="I385" s="3"/>
    </row>
    <row r="386" spans="9:9">
      <c r="I386" s="3"/>
    </row>
    <row r="387" spans="9:9">
      <c r="I387" s="3"/>
    </row>
    <row r="388" spans="9:9">
      <c r="I388" s="3"/>
    </row>
    <row r="389" spans="9:9">
      <c r="I389" s="3"/>
    </row>
    <row r="390" spans="9:9">
      <c r="I390" s="3"/>
    </row>
    <row r="391" spans="9:9">
      <c r="I391" s="3"/>
    </row>
    <row r="392" spans="9:9">
      <c r="I392" s="3"/>
    </row>
    <row r="393" spans="9:9">
      <c r="I393" s="3"/>
    </row>
    <row r="394" spans="9:9">
      <c r="I394" s="3"/>
    </row>
    <row r="395" spans="9:9">
      <c r="I395" s="3"/>
    </row>
    <row r="396" spans="9:9">
      <c r="I396" s="3"/>
    </row>
    <row r="397" spans="9:9">
      <c r="I397" s="3"/>
    </row>
    <row r="398" spans="9:9">
      <c r="I398" s="3"/>
    </row>
    <row r="399" spans="9:9">
      <c r="I399" s="3"/>
    </row>
    <row r="400" spans="9:9">
      <c r="I400" s="3"/>
    </row>
    <row r="401" spans="9:9">
      <c r="I401" s="3"/>
    </row>
    <row r="402" spans="9:9">
      <c r="I402" s="3"/>
    </row>
    <row r="403" spans="9:9">
      <c r="I403" s="3"/>
    </row>
    <row r="404" spans="9:9">
      <c r="I404" s="3"/>
    </row>
    <row r="405" spans="9:9">
      <c r="I405" s="3"/>
    </row>
    <row r="406" spans="9:9">
      <c r="I406" s="3"/>
    </row>
    <row r="407" spans="9:9">
      <c r="I407" s="3"/>
    </row>
    <row r="408" spans="9:9">
      <c r="I408" s="3"/>
    </row>
    <row r="409" spans="9:9">
      <c r="I409" s="3"/>
    </row>
    <row r="410" spans="9:9">
      <c r="I410" s="3"/>
    </row>
    <row r="411" spans="9:9">
      <c r="I411" s="3"/>
    </row>
    <row r="412" spans="9:9">
      <c r="I412" s="3"/>
    </row>
    <row r="413" spans="9:9">
      <c r="I413" s="3"/>
    </row>
    <row r="414" spans="9:9">
      <c r="I414" s="3"/>
    </row>
    <row r="415" spans="9:9">
      <c r="I415" s="3"/>
    </row>
    <row r="416" spans="9:9">
      <c r="I416" s="3"/>
    </row>
    <row r="417" spans="9:9">
      <c r="I417" s="3"/>
    </row>
    <row r="418" spans="9:9">
      <c r="I418" s="3"/>
    </row>
    <row r="419" spans="9:9">
      <c r="I419" s="3"/>
    </row>
    <row r="420" spans="9:9">
      <c r="I420" s="3"/>
    </row>
    <row r="421" spans="9:9">
      <c r="I421" s="3"/>
    </row>
    <row r="422" spans="9:9">
      <c r="I422" s="3"/>
    </row>
    <row r="423" spans="9:9">
      <c r="I423" s="3"/>
    </row>
    <row r="424" spans="9:9">
      <c r="I424" s="3"/>
    </row>
    <row r="425" spans="9:9">
      <c r="I425" s="3"/>
    </row>
    <row r="426" spans="9:9">
      <c r="I426" s="3"/>
    </row>
    <row r="427" spans="9:9">
      <c r="I427" s="3"/>
    </row>
    <row r="428" spans="9:9">
      <c r="I428" s="3"/>
    </row>
    <row r="429" spans="9:9">
      <c r="I429" s="3"/>
    </row>
    <row r="430" spans="9:9">
      <c r="I430" s="3"/>
    </row>
    <row r="431" spans="9:9">
      <c r="I431" s="3"/>
    </row>
    <row r="432" spans="9:9">
      <c r="I432" s="3"/>
    </row>
    <row r="433" spans="9:9">
      <c r="I433" s="3"/>
    </row>
    <row r="434" spans="9:9">
      <c r="I434" s="3"/>
    </row>
    <row r="435" spans="9:9">
      <c r="I435" s="3"/>
    </row>
    <row r="436" spans="9:9">
      <c r="I436" s="3"/>
    </row>
    <row r="437" spans="9:9">
      <c r="I437" s="3"/>
    </row>
    <row r="438" spans="9:9">
      <c r="I438" s="3"/>
    </row>
    <row r="439" spans="9:9">
      <c r="I439" s="3"/>
    </row>
    <row r="440" spans="9:9">
      <c r="I440" s="3"/>
    </row>
    <row r="441" spans="9:9">
      <c r="I441" s="3"/>
    </row>
    <row r="442" spans="9:9">
      <c r="I442" s="3"/>
    </row>
    <row r="443" spans="9:9">
      <c r="I443" s="3"/>
    </row>
    <row r="444" spans="9:9">
      <c r="I444" s="3"/>
    </row>
    <row r="445" spans="9:9">
      <c r="I445" s="3"/>
    </row>
    <row r="446" spans="9:9">
      <c r="I446" s="3"/>
    </row>
    <row r="447" spans="9:9">
      <c r="I447" s="3"/>
    </row>
    <row r="448" spans="9:9">
      <c r="I448" s="3"/>
    </row>
    <row r="449" spans="9:9">
      <c r="I449" s="3"/>
    </row>
    <row r="450" spans="9:9">
      <c r="I450" s="3"/>
    </row>
    <row r="451" spans="9:9">
      <c r="I451" s="3"/>
    </row>
    <row r="452" spans="9:9">
      <c r="I452" s="3"/>
    </row>
    <row r="453" spans="9:9">
      <c r="I453" s="3"/>
    </row>
    <row r="454" spans="9:9">
      <c r="I454" s="3"/>
    </row>
    <row r="455" spans="9:9">
      <c r="I455" s="3"/>
    </row>
    <row r="456" spans="9:9">
      <c r="I456" s="3"/>
    </row>
    <row r="457" spans="9:9">
      <c r="I457" s="3"/>
    </row>
    <row r="458" spans="9:9">
      <c r="I458" s="3"/>
    </row>
    <row r="459" spans="9:9">
      <c r="I459" s="3"/>
    </row>
    <row r="460" spans="9:9">
      <c r="I460" s="3"/>
    </row>
    <row r="461" spans="9:9">
      <c r="I461" s="3"/>
    </row>
    <row r="462" spans="9:9">
      <c r="I462" s="3"/>
    </row>
    <row r="463" spans="9:9">
      <c r="I463" s="3"/>
    </row>
    <row r="464" spans="9:9">
      <c r="I464" s="3"/>
    </row>
    <row r="465" spans="9:9">
      <c r="I465" s="3"/>
    </row>
    <row r="466" spans="9:9">
      <c r="I466" s="3"/>
    </row>
    <row r="467" spans="9:9">
      <c r="I467" s="3"/>
    </row>
    <row r="468" spans="9:9">
      <c r="I468" s="3"/>
    </row>
    <row r="469" spans="9:9">
      <c r="I469" s="3"/>
    </row>
    <row r="470" spans="9:9">
      <c r="I470" s="3"/>
    </row>
    <row r="471" spans="9:9">
      <c r="I471" s="3"/>
    </row>
    <row r="472" spans="9:9">
      <c r="I472" s="3"/>
    </row>
    <row r="473" spans="9:9">
      <c r="I473" s="3"/>
    </row>
    <row r="474" spans="9:9">
      <c r="I474" s="3"/>
    </row>
    <row r="475" spans="9:9">
      <c r="I475" s="3"/>
    </row>
    <row r="476" spans="9:9">
      <c r="I476" s="3"/>
    </row>
    <row r="477" spans="9:9">
      <c r="I477" s="3"/>
    </row>
    <row r="478" spans="9:9">
      <c r="I478" s="3"/>
    </row>
    <row r="479" spans="9:9">
      <c r="I479" s="3"/>
    </row>
    <row r="480" spans="9:9">
      <c r="I480" s="3"/>
    </row>
    <row r="481" spans="9:9">
      <c r="I481" s="3"/>
    </row>
    <row r="482" spans="9:9">
      <c r="I482" s="3"/>
    </row>
    <row r="483" spans="9:9">
      <c r="I483" s="3"/>
    </row>
    <row r="484" spans="9:9">
      <c r="I484" s="3"/>
    </row>
    <row r="485" spans="9:9">
      <c r="I485" s="3"/>
    </row>
    <row r="486" spans="9:9">
      <c r="I486" s="3"/>
    </row>
    <row r="487" spans="9:9">
      <c r="I487" s="3"/>
    </row>
    <row r="488" spans="9:9">
      <c r="I488" s="3"/>
    </row>
    <row r="489" spans="9:9">
      <c r="I489" s="3"/>
    </row>
    <row r="490" spans="9:9">
      <c r="I490" s="3"/>
    </row>
    <row r="491" spans="9:9">
      <c r="I491" s="3"/>
    </row>
    <row r="492" spans="9:9">
      <c r="I492" s="3"/>
    </row>
    <row r="493" spans="9:9">
      <c r="I493" s="3"/>
    </row>
    <row r="494" spans="9:9">
      <c r="I494" s="3"/>
    </row>
    <row r="495" spans="9:9">
      <c r="I495" s="3"/>
    </row>
    <row r="496" spans="9:9">
      <c r="I496" s="3"/>
    </row>
    <row r="497" spans="9:9">
      <c r="I497" s="3"/>
    </row>
    <row r="498" spans="9:9">
      <c r="I498" s="3"/>
    </row>
    <row r="499" spans="9:9">
      <c r="I499" s="3"/>
    </row>
    <row r="500" spans="9:9">
      <c r="I500" s="3"/>
    </row>
    <row r="501" spans="9:9">
      <c r="I501" s="3"/>
    </row>
    <row r="502" spans="9:9">
      <c r="I502" s="3"/>
    </row>
    <row r="503" spans="9:9">
      <c r="I503" s="3"/>
    </row>
    <row r="504" spans="9:9">
      <c r="I504" s="3"/>
    </row>
    <row r="505" spans="9:9">
      <c r="I505" s="3"/>
    </row>
    <row r="506" spans="9:9">
      <c r="I506" s="3"/>
    </row>
    <row r="507" spans="9:9">
      <c r="I507" s="3"/>
    </row>
    <row r="508" spans="9:9">
      <c r="I508" s="3"/>
    </row>
    <row r="509" spans="9:9">
      <c r="I509" s="3"/>
    </row>
    <row r="510" spans="9:9">
      <c r="I510" s="3"/>
    </row>
    <row r="511" spans="9:9">
      <c r="I511" s="3"/>
    </row>
    <row r="512" spans="9:9">
      <c r="I512" s="3"/>
    </row>
    <row r="513" spans="9:9">
      <c r="I513" s="3"/>
    </row>
    <row r="514" spans="9:9">
      <c r="I514" s="3"/>
    </row>
    <row r="515" spans="9:9">
      <c r="I515" s="3"/>
    </row>
    <row r="516" spans="9:9">
      <c r="I516" s="3"/>
    </row>
    <row r="517" spans="9:9">
      <c r="I517" s="3"/>
    </row>
    <row r="518" spans="9:9">
      <c r="I518" s="3"/>
    </row>
    <row r="519" spans="9:9">
      <c r="I519" s="3"/>
    </row>
    <row r="520" spans="9:9">
      <c r="I520" s="3"/>
    </row>
    <row r="521" spans="9:9">
      <c r="I521" s="3"/>
    </row>
    <row r="522" spans="9:9">
      <c r="I522" s="3"/>
    </row>
    <row r="523" spans="9:9">
      <c r="I523" s="3"/>
    </row>
    <row r="524" spans="9:9">
      <c r="I524" s="3"/>
    </row>
    <row r="525" spans="9:9">
      <c r="I525" s="3"/>
    </row>
    <row r="526" spans="9:9">
      <c r="I526" s="3"/>
    </row>
    <row r="527" spans="9:9">
      <c r="I527" s="3"/>
    </row>
    <row r="528" spans="9:9">
      <c r="I528" s="3"/>
    </row>
    <row r="529" spans="9:9">
      <c r="I529" s="3"/>
    </row>
    <row r="530" spans="9:9">
      <c r="I530" s="3"/>
    </row>
    <row r="531" spans="9:9">
      <c r="I531" s="3"/>
    </row>
    <row r="532" spans="9:9">
      <c r="I532" s="3"/>
    </row>
    <row r="533" spans="9:9">
      <c r="I533" s="3"/>
    </row>
    <row r="534" spans="9:9">
      <c r="I534" s="3"/>
    </row>
    <row r="535" spans="9:9">
      <c r="I535" s="3"/>
    </row>
    <row r="536" spans="9:9">
      <c r="I536" s="3"/>
    </row>
    <row r="537" spans="9:9">
      <c r="I537" s="3"/>
    </row>
    <row r="538" spans="9:9">
      <c r="I538" s="3"/>
    </row>
    <row r="539" spans="9:9">
      <c r="I539" s="3"/>
    </row>
    <row r="540" spans="9:9">
      <c r="I540" s="3"/>
    </row>
    <row r="541" spans="9:9">
      <c r="I541" s="3"/>
    </row>
    <row r="542" spans="9:9">
      <c r="I542" s="3"/>
    </row>
    <row r="543" spans="9:9">
      <c r="I543" s="3"/>
    </row>
    <row r="544" spans="9:9">
      <c r="I544" s="3"/>
    </row>
    <row r="545" spans="9:9">
      <c r="I545" s="3"/>
    </row>
    <row r="546" spans="9:9">
      <c r="I546" s="3"/>
    </row>
    <row r="547" spans="9:9">
      <c r="I547" s="3"/>
    </row>
    <row r="548" spans="9:9">
      <c r="I548" s="3"/>
    </row>
    <row r="549" spans="9:9">
      <c r="I549" s="3"/>
    </row>
    <row r="550" spans="9:9">
      <c r="I550" s="3"/>
    </row>
    <row r="551" spans="9:9">
      <c r="I551" s="3"/>
    </row>
    <row r="552" spans="9:9">
      <c r="I552" s="3"/>
    </row>
    <row r="553" spans="9:9">
      <c r="I553" s="3"/>
    </row>
    <row r="554" spans="9:9">
      <c r="I554" s="3"/>
    </row>
    <row r="555" spans="9:9">
      <c r="I555" s="3"/>
    </row>
    <row r="556" spans="9:9">
      <c r="I556" s="3"/>
    </row>
    <row r="557" spans="9:9">
      <c r="I557" s="3"/>
    </row>
    <row r="558" spans="9:9">
      <c r="I558" s="3"/>
    </row>
    <row r="559" spans="9:9">
      <c r="I559" s="3"/>
    </row>
    <row r="560" spans="9:9">
      <c r="I560" s="3"/>
    </row>
    <row r="561" spans="9:9">
      <c r="I561" s="3"/>
    </row>
    <row r="562" spans="9:9">
      <c r="I562" s="3"/>
    </row>
    <row r="563" spans="9:9">
      <c r="I563" s="3"/>
    </row>
    <row r="564" spans="9:9">
      <c r="I564" s="3"/>
    </row>
    <row r="565" spans="9:9">
      <c r="I565" s="3"/>
    </row>
    <row r="566" spans="9:9">
      <c r="I566" s="3"/>
    </row>
    <row r="567" spans="9:9">
      <c r="I567" s="3"/>
    </row>
    <row r="568" spans="9:9">
      <c r="I568" s="3"/>
    </row>
    <row r="569" spans="9:9">
      <c r="I569" s="3"/>
    </row>
    <row r="570" spans="9:9">
      <c r="I570" s="3"/>
    </row>
    <row r="571" spans="9:9">
      <c r="I571" s="3"/>
    </row>
    <row r="572" spans="9:9">
      <c r="I572" s="3"/>
    </row>
    <row r="573" spans="9:9">
      <c r="I573" s="3"/>
    </row>
    <row r="574" spans="9:9">
      <c r="I574" s="3"/>
    </row>
    <row r="575" spans="9:9">
      <c r="I575" s="3"/>
    </row>
    <row r="576" spans="9:9">
      <c r="I576" s="3"/>
    </row>
    <row r="577" spans="9:9">
      <c r="I577" s="3"/>
    </row>
    <row r="578" spans="9:9">
      <c r="I578" s="3"/>
    </row>
    <row r="579" spans="9:9">
      <c r="I579" s="3"/>
    </row>
    <row r="580" spans="9:9">
      <c r="I580" s="3"/>
    </row>
    <row r="581" spans="9:9">
      <c r="I581" s="3"/>
    </row>
    <row r="582" spans="9:9">
      <c r="I582" s="3"/>
    </row>
    <row r="583" spans="9:9">
      <c r="I583" s="3"/>
    </row>
    <row r="584" spans="9:9">
      <c r="I584" s="3"/>
    </row>
    <row r="585" spans="9:9">
      <c r="I585" s="3"/>
    </row>
    <row r="586" spans="9:9">
      <c r="I586" s="3"/>
    </row>
    <row r="587" spans="9:9">
      <c r="I587" s="3"/>
    </row>
    <row r="588" spans="9:9">
      <c r="I588" s="3"/>
    </row>
    <row r="589" spans="9:9">
      <c r="I589" s="3"/>
    </row>
    <row r="590" spans="9:9">
      <c r="I590" s="3"/>
    </row>
    <row r="591" spans="9:9">
      <c r="I591" s="3"/>
    </row>
    <row r="592" spans="9:9">
      <c r="I592" s="3"/>
    </row>
    <row r="593" spans="9:9">
      <c r="I593" s="3"/>
    </row>
    <row r="594" spans="9:9">
      <c r="I594" s="3"/>
    </row>
    <row r="595" spans="9:9">
      <c r="I595" s="3"/>
    </row>
    <row r="596" spans="9:9">
      <c r="I596" s="3"/>
    </row>
    <row r="597" spans="9:9">
      <c r="I597" s="3"/>
    </row>
    <row r="598" spans="9:9">
      <c r="I598" s="3"/>
    </row>
    <row r="599" spans="9:9">
      <c r="I599" s="3"/>
    </row>
    <row r="600" spans="9:9">
      <c r="I600" s="3"/>
    </row>
    <row r="601" spans="9:9">
      <c r="I601" s="3"/>
    </row>
    <row r="602" spans="9:9">
      <c r="I602" s="3"/>
    </row>
    <row r="603" spans="9:9">
      <c r="I603" s="3"/>
    </row>
    <row r="604" spans="9:9">
      <c r="I604" s="3"/>
    </row>
    <row r="605" spans="9:9">
      <c r="I605" s="3"/>
    </row>
    <row r="606" spans="9:9">
      <c r="I606" s="3"/>
    </row>
    <row r="607" spans="9:9">
      <c r="I607" s="3"/>
    </row>
    <row r="608" spans="9:9">
      <c r="I608" s="3"/>
    </row>
    <row r="609" spans="9:9">
      <c r="I609" s="3"/>
    </row>
    <row r="610" spans="9:9">
      <c r="I610" s="3"/>
    </row>
    <row r="611" spans="9:9">
      <c r="I611" s="3"/>
    </row>
    <row r="612" spans="9:9">
      <c r="I612" s="3"/>
    </row>
    <row r="613" spans="9:9">
      <c r="I613" s="3"/>
    </row>
    <row r="614" spans="9:9">
      <c r="I614" s="3"/>
    </row>
    <row r="615" spans="9:9">
      <c r="I615" s="3"/>
    </row>
    <row r="616" spans="9:9">
      <c r="I616" s="3"/>
    </row>
    <row r="617" spans="9:9">
      <c r="I617" s="3"/>
    </row>
    <row r="618" spans="9:9">
      <c r="I618" s="3"/>
    </row>
    <row r="619" spans="9:9">
      <c r="I619" s="3"/>
    </row>
    <row r="620" spans="9:9">
      <c r="I620" s="3"/>
    </row>
    <row r="621" spans="9:9">
      <c r="I621" s="3"/>
    </row>
    <row r="622" spans="9:9">
      <c r="I622" s="3"/>
    </row>
    <row r="623" spans="9:9">
      <c r="I623" s="3"/>
    </row>
    <row r="624" spans="9:9">
      <c r="I624" s="3"/>
    </row>
    <row r="625" spans="9:9">
      <c r="I625" s="3"/>
    </row>
    <row r="626" spans="9:9">
      <c r="I626" s="3"/>
    </row>
    <row r="627" spans="9:9">
      <c r="I627" s="3"/>
    </row>
    <row r="628" spans="9:9">
      <c r="I628" s="3"/>
    </row>
    <row r="629" spans="9:9">
      <c r="I629" s="3"/>
    </row>
    <row r="630" spans="9:9">
      <c r="I630" s="3"/>
    </row>
    <row r="631" spans="9:9">
      <c r="I631" s="3"/>
    </row>
    <row r="632" spans="9:9">
      <c r="I632" s="3"/>
    </row>
    <row r="633" spans="9:9">
      <c r="I633" s="3"/>
    </row>
    <row r="634" spans="9:9">
      <c r="I634" s="3"/>
    </row>
    <row r="635" spans="9:9">
      <c r="I635" s="3"/>
    </row>
    <row r="636" spans="9:9">
      <c r="I636" s="3"/>
    </row>
    <row r="637" spans="9:9">
      <c r="I637" s="3"/>
    </row>
    <row r="638" spans="9:9">
      <c r="I638" s="3"/>
    </row>
    <row r="639" spans="9:9">
      <c r="I639" s="3"/>
    </row>
    <row r="640" spans="9:9">
      <c r="I640" s="3"/>
    </row>
    <row r="641" spans="9:9">
      <c r="I641" s="3"/>
    </row>
    <row r="642" spans="9:9">
      <c r="I642" s="3"/>
    </row>
    <row r="643" spans="9:9">
      <c r="I643" s="3"/>
    </row>
    <row r="644" spans="9:9">
      <c r="I644" s="3"/>
    </row>
    <row r="645" spans="9:9">
      <c r="I645" s="3"/>
    </row>
    <row r="646" spans="9:9">
      <c r="I646" s="3"/>
    </row>
    <row r="647" spans="9:9">
      <c r="I647" s="3"/>
    </row>
    <row r="648" spans="9:9">
      <c r="I648" s="3"/>
    </row>
    <row r="649" spans="9:9">
      <c r="I649" s="3"/>
    </row>
    <row r="650" spans="9:9">
      <c r="I650" s="3"/>
    </row>
    <row r="651" spans="9:9">
      <c r="I651" s="3"/>
    </row>
    <row r="652" spans="9:9">
      <c r="I652" s="3"/>
    </row>
    <row r="653" spans="9:9">
      <c r="I653" s="3"/>
    </row>
    <row r="654" spans="9:9">
      <c r="I654" s="3"/>
    </row>
    <row r="655" spans="9:9">
      <c r="I655" s="3"/>
    </row>
    <row r="656" spans="9:9">
      <c r="I656" s="3"/>
    </row>
    <row r="657" spans="9:9">
      <c r="I657" s="3"/>
    </row>
    <row r="658" spans="9:9">
      <c r="I658" s="3"/>
    </row>
    <row r="659" spans="9:9">
      <c r="I659" s="3"/>
    </row>
    <row r="660" spans="9:9">
      <c r="I660" s="3"/>
    </row>
    <row r="661" spans="9:9">
      <c r="I661" s="3"/>
    </row>
    <row r="662" spans="9:9">
      <c r="I662" s="3"/>
    </row>
    <row r="663" spans="9:9">
      <c r="I663" s="3"/>
    </row>
    <row r="664" spans="9:9">
      <c r="I664" s="3"/>
    </row>
    <row r="665" spans="9:9">
      <c r="I665" s="3"/>
    </row>
    <row r="666" spans="9:9">
      <c r="I666" s="3"/>
    </row>
    <row r="667" spans="9:9">
      <c r="I667" s="3"/>
    </row>
    <row r="668" spans="9:9">
      <c r="I668" s="3"/>
    </row>
    <row r="669" spans="9:9">
      <c r="I669" s="3"/>
    </row>
    <row r="670" spans="9:9">
      <c r="I670" s="3"/>
    </row>
    <row r="671" spans="9:9">
      <c r="I671" s="3"/>
    </row>
    <row r="672" spans="9:9">
      <c r="I672" s="3"/>
    </row>
    <row r="673" spans="9:9">
      <c r="I673" s="3"/>
    </row>
    <row r="674" spans="9:9">
      <c r="I674" s="3"/>
    </row>
    <row r="675" spans="9:9">
      <c r="I675" s="3"/>
    </row>
    <row r="676" spans="9:9">
      <c r="I676" s="3"/>
    </row>
    <row r="677" spans="9:9">
      <c r="I677" s="3"/>
    </row>
    <row r="678" spans="9:9">
      <c r="I678" s="3"/>
    </row>
    <row r="679" spans="9:9">
      <c r="I679" s="3"/>
    </row>
    <row r="680" spans="9:9">
      <c r="I680" s="3"/>
    </row>
    <row r="681" spans="9:9">
      <c r="I681" s="3"/>
    </row>
    <row r="682" spans="9:9">
      <c r="I682" s="3"/>
    </row>
    <row r="683" spans="9:9">
      <c r="I683" s="3"/>
    </row>
    <row r="684" spans="9:9">
      <c r="I684" s="3"/>
    </row>
    <row r="685" spans="9:9">
      <c r="I685" s="3"/>
    </row>
    <row r="686" spans="9:9">
      <c r="I686" s="3"/>
    </row>
    <row r="687" spans="9:9">
      <c r="I687" s="3"/>
    </row>
    <row r="688" spans="9:9">
      <c r="I688" s="3"/>
    </row>
    <row r="689" spans="9:9">
      <c r="I689" s="3"/>
    </row>
    <row r="690" spans="9:9">
      <c r="I690" s="3"/>
    </row>
    <row r="691" spans="9:9">
      <c r="I691" s="3"/>
    </row>
    <row r="692" spans="9:9">
      <c r="I692" s="3"/>
    </row>
    <row r="693" spans="9:9">
      <c r="I693" s="3"/>
    </row>
    <row r="694" spans="9:9">
      <c r="I694" s="3"/>
    </row>
    <row r="695" spans="9:9">
      <c r="I695" s="3"/>
    </row>
    <row r="696" spans="9:9">
      <c r="I696" s="3"/>
    </row>
    <row r="697" spans="9:9">
      <c r="I697" s="3"/>
    </row>
    <row r="698" spans="9:9">
      <c r="I698" s="3"/>
    </row>
    <row r="699" spans="9:9">
      <c r="I699" s="3"/>
    </row>
    <row r="700" spans="9:9">
      <c r="I700" s="3"/>
    </row>
    <row r="701" spans="9:9">
      <c r="I701" s="3"/>
    </row>
    <row r="702" spans="9:9">
      <c r="I702" s="3"/>
    </row>
    <row r="703" spans="9:9">
      <c r="I703" s="3"/>
    </row>
    <row r="704" spans="9:9">
      <c r="I704" s="3"/>
    </row>
    <row r="705" spans="9:9">
      <c r="I705" s="3"/>
    </row>
    <row r="706" spans="9:9">
      <c r="I706" s="3"/>
    </row>
    <row r="707" spans="9:9">
      <c r="I707" s="3"/>
    </row>
    <row r="708" spans="9:9">
      <c r="I708" s="3"/>
    </row>
    <row r="709" spans="9:9">
      <c r="I709" s="3"/>
    </row>
    <row r="710" spans="9:9">
      <c r="I710" s="3"/>
    </row>
    <row r="711" spans="9:9">
      <c r="I711" s="3"/>
    </row>
    <row r="712" spans="9:9">
      <c r="I712" s="3"/>
    </row>
    <row r="713" spans="9:9">
      <c r="I713" s="3"/>
    </row>
    <row r="714" spans="9:9">
      <c r="I714" s="3"/>
    </row>
    <row r="715" spans="9:9">
      <c r="I715" s="3"/>
    </row>
    <row r="716" spans="9:9">
      <c r="I716" s="3"/>
    </row>
    <row r="717" spans="9:9">
      <c r="I717" s="3"/>
    </row>
    <row r="718" spans="9:9">
      <c r="I718" s="3"/>
    </row>
    <row r="719" spans="9:9">
      <c r="I719" s="3"/>
    </row>
    <row r="720" spans="9:9">
      <c r="I720" s="3"/>
    </row>
    <row r="721" spans="9:9">
      <c r="I721" s="3"/>
    </row>
    <row r="722" spans="9:9">
      <c r="I722" s="3"/>
    </row>
    <row r="723" spans="9:9">
      <c r="I723" s="3"/>
    </row>
    <row r="724" spans="9:9">
      <c r="I724" s="3"/>
    </row>
    <row r="725" spans="9:9">
      <c r="I725" s="3"/>
    </row>
    <row r="726" spans="9:9">
      <c r="I726" s="3"/>
    </row>
    <row r="727" spans="9:9">
      <c r="I727" s="3"/>
    </row>
    <row r="728" spans="9:9">
      <c r="I728" s="3"/>
    </row>
    <row r="729" spans="9:9">
      <c r="I729" s="3"/>
    </row>
    <row r="730" spans="9:9">
      <c r="I730" s="3"/>
    </row>
    <row r="731" spans="9:9">
      <c r="I731" s="3"/>
    </row>
    <row r="732" spans="9:9">
      <c r="I732" s="3"/>
    </row>
    <row r="733" spans="9:9">
      <c r="I733" s="3"/>
    </row>
    <row r="734" spans="9:9">
      <c r="I734" s="3"/>
    </row>
    <row r="735" spans="9:9">
      <c r="I735" s="3"/>
    </row>
    <row r="736" spans="9:9">
      <c r="I736" s="3"/>
    </row>
    <row r="737" spans="9:9">
      <c r="I737" s="3"/>
    </row>
    <row r="738" spans="9:9">
      <c r="I738" s="3"/>
    </row>
    <row r="739" spans="9:9">
      <c r="I739" s="3"/>
    </row>
    <row r="740" spans="9:9">
      <c r="I740" s="3"/>
    </row>
    <row r="741" spans="9:9">
      <c r="I741" s="3"/>
    </row>
    <row r="742" spans="9:9">
      <c r="I742" s="3"/>
    </row>
    <row r="743" spans="9:9">
      <c r="I743" s="3"/>
    </row>
    <row r="744" spans="9:9">
      <c r="I744" s="3"/>
    </row>
    <row r="745" spans="9:9">
      <c r="I745" s="3"/>
    </row>
    <row r="746" spans="9:9">
      <c r="I746" s="3"/>
    </row>
    <row r="747" spans="9:9">
      <c r="I747" s="3"/>
    </row>
    <row r="748" spans="9:9">
      <c r="I748" s="3"/>
    </row>
    <row r="749" spans="9:9">
      <c r="I749" s="3"/>
    </row>
    <row r="750" spans="9:9">
      <c r="I750" s="3"/>
    </row>
    <row r="751" spans="9:9">
      <c r="I751" s="3"/>
    </row>
    <row r="752" spans="9:9">
      <c r="I752" s="3"/>
    </row>
    <row r="753" spans="9:9">
      <c r="I753" s="3"/>
    </row>
    <row r="754" spans="9:9">
      <c r="I754" s="3"/>
    </row>
    <row r="755" spans="9:9">
      <c r="I755" s="3"/>
    </row>
    <row r="756" spans="9:9">
      <c r="I756" s="3"/>
    </row>
    <row r="757" spans="9:9">
      <c r="I757" s="3"/>
    </row>
    <row r="758" spans="9:9">
      <c r="I758" s="3"/>
    </row>
    <row r="759" spans="9:9">
      <c r="I759" s="3"/>
    </row>
    <row r="760" spans="9:9">
      <c r="I760" s="3"/>
    </row>
    <row r="761" spans="9:9">
      <c r="I761" s="3"/>
    </row>
    <row r="762" spans="9:9">
      <c r="I762" s="3"/>
    </row>
    <row r="763" spans="9:9">
      <c r="I763" s="3"/>
    </row>
    <row r="764" spans="9:9">
      <c r="I764" s="3"/>
    </row>
    <row r="765" spans="9:9">
      <c r="I765" s="3"/>
    </row>
    <row r="766" spans="9:9">
      <c r="I766" s="3"/>
    </row>
    <row r="767" spans="9:9">
      <c r="I767" s="3"/>
    </row>
    <row r="768" spans="9:9">
      <c r="I768" s="3"/>
    </row>
    <row r="769" spans="9:9">
      <c r="I769" s="3"/>
    </row>
    <row r="770" spans="9:9">
      <c r="I770" s="3"/>
    </row>
    <row r="771" spans="9:9">
      <c r="I771" s="3"/>
    </row>
    <row r="772" spans="9:9">
      <c r="I772" s="3"/>
    </row>
    <row r="773" spans="9:9">
      <c r="I773" s="3"/>
    </row>
    <row r="774" spans="9:9">
      <c r="I774" s="3"/>
    </row>
    <row r="775" spans="9:9">
      <c r="I775" s="3"/>
    </row>
    <row r="776" spans="9:9">
      <c r="I776" s="3"/>
    </row>
    <row r="777" spans="9:9">
      <c r="I777" s="3"/>
    </row>
    <row r="778" spans="9:9">
      <c r="I778" s="3"/>
    </row>
    <row r="779" spans="9:9">
      <c r="I779" s="3"/>
    </row>
    <row r="780" spans="9:9">
      <c r="I780" s="3"/>
    </row>
    <row r="781" spans="9:9">
      <c r="I781" s="3"/>
    </row>
    <row r="782" spans="9:9">
      <c r="I782" s="3"/>
    </row>
    <row r="783" spans="9:9">
      <c r="I783" s="3"/>
    </row>
    <row r="784" spans="9:9">
      <c r="I784" s="3"/>
    </row>
    <row r="785" spans="9:9">
      <c r="I785" s="3"/>
    </row>
    <row r="786" spans="9:9">
      <c r="I786" s="3"/>
    </row>
    <row r="787" spans="9:9">
      <c r="I787" s="3"/>
    </row>
    <row r="788" spans="9:9">
      <c r="I788" s="3"/>
    </row>
    <row r="789" spans="9:9">
      <c r="I789" s="3"/>
    </row>
    <row r="790" spans="9:9">
      <c r="I790" s="3"/>
    </row>
    <row r="791" spans="9:9">
      <c r="I791" s="3"/>
    </row>
    <row r="792" spans="9:9">
      <c r="I792" s="3"/>
    </row>
    <row r="793" spans="9:9">
      <c r="I793" s="3"/>
    </row>
    <row r="794" spans="9:9">
      <c r="I794" s="3"/>
    </row>
    <row r="795" spans="9:9">
      <c r="I795" s="3"/>
    </row>
    <row r="796" spans="9:9">
      <c r="I796" s="3"/>
    </row>
    <row r="797" spans="9:9">
      <c r="I797" s="3"/>
    </row>
    <row r="798" spans="9:9">
      <c r="I798" s="3"/>
    </row>
    <row r="799" spans="9:9">
      <c r="I799" s="3"/>
    </row>
    <row r="800" spans="9:9">
      <c r="I800" s="3"/>
    </row>
    <row r="801" spans="9:9">
      <c r="I801" s="3"/>
    </row>
    <row r="802" spans="9:9">
      <c r="I802" s="3"/>
    </row>
    <row r="803" spans="9:9">
      <c r="I803" s="3"/>
    </row>
    <row r="804" spans="9:9">
      <c r="I804" s="3"/>
    </row>
    <row r="805" spans="9:9">
      <c r="I805" s="3"/>
    </row>
    <row r="806" spans="9:9">
      <c r="I806" s="3"/>
    </row>
    <row r="807" spans="9:9">
      <c r="I807" s="3"/>
    </row>
    <row r="808" spans="9:9">
      <c r="I808" s="3"/>
    </row>
    <row r="809" spans="9:9">
      <c r="I809" s="3"/>
    </row>
    <row r="810" spans="9:9">
      <c r="I810" s="3"/>
    </row>
    <row r="811" spans="9:9">
      <c r="I811" s="3"/>
    </row>
    <row r="812" spans="9:9">
      <c r="I812" s="3"/>
    </row>
    <row r="813" spans="9:9">
      <c r="I813" s="3"/>
    </row>
    <row r="814" spans="9:9">
      <c r="I814" s="3"/>
    </row>
    <row r="815" spans="9:9">
      <c r="I815" s="3"/>
    </row>
    <row r="816" spans="9:9">
      <c r="I816" s="3"/>
    </row>
    <row r="817" spans="9:9">
      <c r="I817" s="3"/>
    </row>
    <row r="818" spans="9:9">
      <c r="I818" s="3"/>
    </row>
    <row r="819" spans="9:9">
      <c r="I819" s="3"/>
    </row>
    <row r="820" spans="9:9">
      <c r="I820" s="3"/>
    </row>
    <row r="821" spans="9:9">
      <c r="I821" s="3"/>
    </row>
    <row r="822" spans="9:9">
      <c r="I822" s="3"/>
    </row>
    <row r="823" spans="9:9">
      <c r="I823" s="3"/>
    </row>
    <row r="824" spans="9:9">
      <c r="I824" s="3"/>
    </row>
    <row r="825" spans="9:9">
      <c r="I825" s="3"/>
    </row>
    <row r="826" spans="9:9">
      <c r="I826" s="3"/>
    </row>
    <row r="827" spans="9:9">
      <c r="I827" s="3"/>
    </row>
    <row r="828" spans="9:9">
      <c r="I828" s="3"/>
    </row>
    <row r="829" spans="9:9">
      <c r="I829" s="3"/>
    </row>
    <row r="830" spans="9:9">
      <c r="I830" s="3"/>
    </row>
    <row r="831" spans="9:9">
      <c r="I831" s="3"/>
    </row>
    <row r="832" spans="9:9">
      <c r="I832" s="3"/>
    </row>
    <row r="833" spans="9:9">
      <c r="I833" s="3"/>
    </row>
    <row r="834" spans="9:9">
      <c r="I834" s="3"/>
    </row>
    <row r="835" spans="9:9">
      <c r="I835" s="3"/>
    </row>
    <row r="836" spans="9:9">
      <c r="I836" s="3"/>
    </row>
    <row r="837" spans="9:9">
      <c r="I837" s="3"/>
    </row>
    <row r="838" spans="9:9">
      <c r="I838" s="3"/>
    </row>
    <row r="839" spans="9:9">
      <c r="I839" s="3"/>
    </row>
    <row r="840" spans="9:9">
      <c r="I840" s="3"/>
    </row>
    <row r="841" spans="9:9">
      <c r="I841" s="3"/>
    </row>
    <row r="842" spans="9:9">
      <c r="I842" s="3"/>
    </row>
    <row r="843" spans="9:9">
      <c r="I843" s="3"/>
    </row>
    <row r="844" spans="9:9">
      <c r="I844" s="3"/>
    </row>
    <row r="845" spans="9:9">
      <c r="I845" s="3"/>
    </row>
    <row r="846" spans="9:9">
      <c r="I846" s="3"/>
    </row>
    <row r="847" spans="9:9">
      <c r="I847" s="3"/>
    </row>
    <row r="848" spans="9:9">
      <c r="I848" s="3"/>
    </row>
    <row r="849" spans="9:9">
      <c r="I849" s="3"/>
    </row>
    <row r="850" spans="9:9">
      <c r="I850" s="3"/>
    </row>
    <row r="851" spans="9:9">
      <c r="I851" s="3"/>
    </row>
    <row r="852" spans="9:9">
      <c r="I852" s="3"/>
    </row>
    <row r="853" spans="9:9">
      <c r="I853" s="3"/>
    </row>
    <row r="854" spans="9:9">
      <c r="I854" s="3"/>
    </row>
    <row r="855" spans="9:9">
      <c r="I855" s="3"/>
    </row>
    <row r="856" spans="9:9">
      <c r="I856" s="3"/>
    </row>
    <row r="857" spans="9:9">
      <c r="I857" s="3"/>
    </row>
    <row r="858" spans="9:9">
      <c r="I858" s="3"/>
    </row>
    <row r="859" spans="9:9">
      <c r="I859" s="3"/>
    </row>
    <row r="860" spans="9:9">
      <c r="I860" s="3"/>
    </row>
    <row r="861" spans="9:9">
      <c r="I861" s="3"/>
    </row>
    <row r="862" spans="9:9">
      <c r="I862" s="3"/>
    </row>
    <row r="863" spans="9:9">
      <c r="I863" s="3"/>
    </row>
    <row r="864" spans="9:9">
      <c r="I864" s="3"/>
    </row>
    <row r="865" spans="9:9">
      <c r="I865" s="3"/>
    </row>
    <row r="866" spans="9:9">
      <c r="I866" s="3"/>
    </row>
    <row r="867" spans="9:9">
      <c r="I867" s="3"/>
    </row>
    <row r="868" spans="9:9">
      <c r="I868" s="3"/>
    </row>
    <row r="869" spans="9:9">
      <c r="I869" s="3"/>
    </row>
    <row r="870" spans="9:9">
      <c r="I870" s="3"/>
    </row>
    <row r="871" spans="9:9">
      <c r="I871" s="3"/>
    </row>
    <row r="872" spans="9:9">
      <c r="I872" s="3"/>
    </row>
    <row r="873" spans="9:9">
      <c r="I873" s="3"/>
    </row>
    <row r="874" spans="9:9">
      <c r="I874" s="3"/>
    </row>
    <row r="875" spans="9:9">
      <c r="I875" s="3"/>
    </row>
    <row r="876" spans="9:9">
      <c r="I876" s="3"/>
    </row>
    <row r="877" spans="9:9">
      <c r="I877" s="3"/>
    </row>
    <row r="878" spans="9:9">
      <c r="I878" s="3"/>
    </row>
    <row r="879" spans="9:9">
      <c r="I879" s="3"/>
    </row>
    <row r="880" spans="9:9">
      <c r="I880" s="3"/>
    </row>
    <row r="881" spans="9:9">
      <c r="I881" s="3"/>
    </row>
    <row r="882" spans="9:9">
      <c r="I882" s="3"/>
    </row>
    <row r="883" spans="9:9">
      <c r="I883" s="3"/>
    </row>
    <row r="884" spans="9:9">
      <c r="I884" s="3"/>
    </row>
    <row r="885" spans="9:9">
      <c r="I885" s="3"/>
    </row>
    <row r="886" spans="9:9">
      <c r="I886" s="3"/>
    </row>
    <row r="887" spans="9:9">
      <c r="I887" s="3"/>
    </row>
    <row r="888" spans="9:9">
      <c r="I888" s="3"/>
    </row>
    <row r="889" spans="9:9">
      <c r="I889" s="3"/>
    </row>
    <row r="890" spans="9:9">
      <c r="I890" s="3"/>
    </row>
    <row r="891" spans="9:9">
      <c r="I891" s="3"/>
    </row>
    <row r="892" spans="9:9">
      <c r="I892" s="3"/>
    </row>
    <row r="893" spans="9:9">
      <c r="I893" s="3"/>
    </row>
    <row r="894" spans="9:9">
      <c r="I894" s="3"/>
    </row>
    <row r="895" spans="9:9">
      <c r="I895" s="3"/>
    </row>
    <row r="896" spans="9:9">
      <c r="I896" s="3"/>
    </row>
    <row r="897" spans="9:9">
      <c r="I897" s="3"/>
    </row>
    <row r="898" spans="9:9">
      <c r="I898" s="3"/>
    </row>
    <row r="899" spans="9:9">
      <c r="I899" s="3"/>
    </row>
    <row r="900" spans="9:9">
      <c r="I900" s="3"/>
    </row>
    <row r="901" spans="9:9">
      <c r="I901" s="3"/>
    </row>
    <row r="902" spans="9:9">
      <c r="I902" s="3"/>
    </row>
    <row r="903" spans="9:9">
      <c r="I903" s="3"/>
    </row>
    <row r="904" spans="9:9">
      <c r="I904" s="3"/>
    </row>
    <row r="905" spans="9:9">
      <c r="I905" s="3"/>
    </row>
    <row r="906" spans="9:9">
      <c r="I906" s="3"/>
    </row>
    <row r="907" spans="9:9">
      <c r="I907" s="3"/>
    </row>
    <row r="908" spans="9:9">
      <c r="I908" s="3"/>
    </row>
    <row r="909" spans="9:9">
      <c r="I909" s="3"/>
    </row>
    <row r="910" spans="9:9">
      <c r="I910" s="3"/>
    </row>
    <row r="911" spans="9:9">
      <c r="I911" s="3"/>
    </row>
    <row r="912" spans="9:9">
      <c r="I912" s="3"/>
    </row>
    <row r="913" spans="9:9">
      <c r="I913" s="3"/>
    </row>
    <row r="914" spans="9:9">
      <c r="I914" s="3"/>
    </row>
    <row r="915" spans="9:9">
      <c r="I915" s="3"/>
    </row>
    <row r="916" spans="9:9">
      <c r="I916" s="3"/>
    </row>
    <row r="917" spans="9:9">
      <c r="I917" s="3"/>
    </row>
    <row r="918" spans="9:9">
      <c r="I918" s="3"/>
    </row>
    <row r="919" spans="9:9">
      <c r="I919" s="3"/>
    </row>
    <row r="920" spans="9:9">
      <c r="I920" s="3"/>
    </row>
    <row r="921" spans="9:9">
      <c r="I921" s="3"/>
    </row>
    <row r="922" spans="9:9">
      <c r="I922" s="3"/>
    </row>
    <row r="923" spans="9:9">
      <c r="I923" s="3"/>
    </row>
    <row r="924" spans="9:9">
      <c r="I924" s="3"/>
    </row>
    <row r="925" spans="9:9">
      <c r="I925" s="3"/>
    </row>
    <row r="926" spans="9:9">
      <c r="I926" s="3"/>
    </row>
    <row r="927" spans="9:9">
      <c r="I927" s="3"/>
    </row>
    <row r="928" spans="9:9">
      <c r="I928" s="3"/>
    </row>
    <row r="929" spans="9:9">
      <c r="I929" s="3"/>
    </row>
    <row r="930" spans="9:9">
      <c r="I930" s="3"/>
    </row>
    <row r="931" spans="9:9">
      <c r="I931" s="3"/>
    </row>
    <row r="932" spans="9:9">
      <c r="I932" s="3"/>
    </row>
    <row r="933" spans="9:9">
      <c r="I933" s="3"/>
    </row>
    <row r="934" spans="9:9">
      <c r="I934" s="3"/>
    </row>
    <row r="935" spans="9:9">
      <c r="I935" s="3"/>
    </row>
    <row r="936" spans="9:9">
      <c r="I936" s="3"/>
    </row>
    <row r="937" spans="9:9">
      <c r="I937" s="3"/>
    </row>
    <row r="938" spans="9:9">
      <c r="I938" s="3"/>
    </row>
    <row r="939" spans="9:9">
      <c r="I939" s="3"/>
    </row>
    <row r="940" spans="9:9">
      <c r="I940" s="3"/>
    </row>
    <row r="941" spans="9:9">
      <c r="I941" s="3"/>
    </row>
    <row r="942" spans="9:9">
      <c r="I942" s="3"/>
    </row>
    <row r="943" spans="9:9">
      <c r="I943" s="3"/>
    </row>
    <row r="944" spans="9:9">
      <c r="I944" s="3"/>
    </row>
    <row r="945" spans="9:9">
      <c r="I945" s="3"/>
    </row>
    <row r="946" spans="9:9">
      <c r="I946" s="3"/>
    </row>
    <row r="947" spans="9:9">
      <c r="I947" s="3"/>
    </row>
    <row r="948" spans="9:9">
      <c r="I948" s="3"/>
    </row>
    <row r="949" spans="9:9">
      <c r="I949" s="3"/>
    </row>
    <row r="950" spans="9:9">
      <c r="I950" s="3"/>
    </row>
    <row r="951" spans="9:9">
      <c r="I951" s="3"/>
    </row>
    <row r="952" spans="9:9">
      <c r="I952" s="3"/>
    </row>
    <row r="953" spans="9:9">
      <c r="I953" s="3"/>
    </row>
    <row r="954" spans="9:9">
      <c r="I954" s="3"/>
    </row>
    <row r="955" spans="9:9">
      <c r="I955" s="3"/>
    </row>
    <row r="956" spans="9:9">
      <c r="I956" s="3"/>
    </row>
    <row r="957" spans="9:9">
      <c r="I957" s="3"/>
    </row>
    <row r="958" spans="9:9">
      <c r="I958" s="3"/>
    </row>
    <row r="959" spans="9:9">
      <c r="I959" s="3"/>
    </row>
    <row r="960" spans="9:9">
      <c r="I960" s="3"/>
    </row>
    <row r="961" spans="9:9">
      <c r="I961" s="3"/>
    </row>
    <row r="962" spans="9:9">
      <c r="I962" s="3"/>
    </row>
    <row r="963" spans="9:9">
      <c r="I963" s="3"/>
    </row>
    <row r="964" spans="9:9">
      <c r="I964" s="3"/>
    </row>
    <row r="965" spans="9:9">
      <c r="I965" s="3"/>
    </row>
    <row r="966" spans="9:9">
      <c r="I966" s="3"/>
    </row>
    <row r="967" spans="9:9">
      <c r="I967" s="3"/>
    </row>
    <row r="968" spans="9:9">
      <c r="I968" s="3"/>
    </row>
    <row r="969" spans="9:9">
      <c r="I969" s="3"/>
    </row>
    <row r="970" spans="9:9">
      <c r="I970" s="3"/>
    </row>
    <row r="971" spans="9:9">
      <c r="I971" s="3"/>
    </row>
    <row r="972" spans="9:9">
      <c r="I972" s="3"/>
    </row>
    <row r="973" spans="9:9">
      <c r="I973" s="3"/>
    </row>
    <row r="974" spans="9:9">
      <c r="I974" s="3"/>
    </row>
    <row r="975" spans="9:9">
      <c r="I975" s="3"/>
    </row>
    <row r="976" spans="9:9">
      <c r="I976" s="3"/>
    </row>
    <row r="977" spans="9:9">
      <c r="I977" s="3"/>
    </row>
    <row r="978" spans="9:9">
      <c r="I978" s="3"/>
    </row>
    <row r="979" spans="9:9">
      <c r="I979" s="3"/>
    </row>
    <row r="980" spans="9:9">
      <c r="I980" s="3"/>
    </row>
    <row r="981" spans="9:9">
      <c r="I981" s="3"/>
    </row>
    <row r="982" spans="9:9">
      <c r="I982" s="3"/>
    </row>
    <row r="983" spans="9:9">
      <c r="I983" s="3"/>
    </row>
    <row r="984" spans="9:9">
      <c r="I984" s="3"/>
    </row>
    <row r="985" spans="9:9">
      <c r="I985" s="3"/>
    </row>
    <row r="986" spans="9:9">
      <c r="I986" s="3"/>
    </row>
    <row r="987" spans="9:9">
      <c r="I987" s="3"/>
    </row>
    <row r="988" spans="9:9">
      <c r="I988" s="3"/>
    </row>
    <row r="989" spans="9:9">
      <c r="I989" s="3"/>
    </row>
    <row r="990" spans="9:9">
      <c r="I990" s="3"/>
    </row>
    <row r="991" spans="9:9">
      <c r="I991" s="3"/>
    </row>
    <row r="992" spans="9:9">
      <c r="I992" s="3"/>
    </row>
    <row r="993" spans="9:9">
      <c r="I993" s="3"/>
    </row>
    <row r="994" spans="9:9">
      <c r="I994" s="3"/>
    </row>
    <row r="995" spans="9:9">
      <c r="I995" s="3"/>
    </row>
    <row r="996" spans="9:9">
      <c r="I996" s="3"/>
    </row>
    <row r="997" spans="9:9">
      <c r="I997" s="3"/>
    </row>
    <row r="998" spans="9:9">
      <c r="I998" s="3"/>
    </row>
    <row r="999" spans="9:9">
      <c r="I999" s="3"/>
    </row>
    <row r="1000" spans="9:9">
      <c r="I1000" s="3"/>
    </row>
    <row r="1001" spans="9:9">
      <c r="I1001" s="3"/>
    </row>
    <row r="1002" spans="9:9">
      <c r="I1002" s="3"/>
    </row>
    <row r="1003" spans="9:9">
      <c r="I1003" s="3"/>
    </row>
    <row r="1004" spans="9:9">
      <c r="I1004" s="3"/>
    </row>
    <row r="1005" spans="9:9">
      <c r="I1005" s="3"/>
    </row>
    <row r="1006" spans="9:9">
      <c r="I1006" s="3"/>
    </row>
    <row r="1007" spans="9:9">
      <c r="I1007" s="3"/>
    </row>
    <row r="1008" spans="9:9">
      <c r="I1008" s="3"/>
    </row>
    <row r="1009" spans="9:9">
      <c r="I1009" s="3"/>
    </row>
    <row r="1010" spans="9:9">
      <c r="I1010" s="3"/>
    </row>
    <row r="1011" spans="9:9">
      <c r="I1011" s="3"/>
    </row>
    <row r="1012" spans="9:9">
      <c r="I1012" s="3"/>
    </row>
    <row r="1013" spans="9:9">
      <c r="I1013" s="3"/>
    </row>
    <row r="1014" spans="9:9">
      <c r="I1014" s="3"/>
    </row>
    <row r="1015" spans="9:9">
      <c r="I1015" s="3"/>
    </row>
    <row r="1016" spans="9:9">
      <c r="I1016" s="3"/>
    </row>
    <row r="1017" spans="9:9">
      <c r="I1017" s="3"/>
    </row>
    <row r="1018" spans="9:9">
      <c r="I1018" s="3"/>
    </row>
    <row r="1019" spans="9:9">
      <c r="I1019" s="3"/>
    </row>
    <row r="1020" spans="9:9">
      <c r="I1020" s="3"/>
    </row>
    <row r="1021" spans="9:9">
      <c r="I1021" s="3"/>
    </row>
    <row r="1022" spans="9:9">
      <c r="I1022" s="3"/>
    </row>
    <row r="1023" spans="9:9">
      <c r="I1023" s="3"/>
    </row>
    <row r="1024" spans="9:9">
      <c r="I1024" s="3"/>
    </row>
    <row r="1025" spans="9:9">
      <c r="I1025" s="3"/>
    </row>
    <row r="1026" spans="9:9">
      <c r="I1026" s="3"/>
    </row>
    <row r="1027" spans="9:9">
      <c r="I1027" s="3"/>
    </row>
    <row r="1028" spans="9:9">
      <c r="I1028" s="3"/>
    </row>
    <row r="1029" spans="9:9">
      <c r="I1029" s="3"/>
    </row>
    <row r="1030" spans="9:9">
      <c r="I1030" s="3"/>
    </row>
    <row r="1031" spans="9:9">
      <c r="I1031" s="3"/>
    </row>
    <row r="1032" spans="9:9">
      <c r="I1032" s="3"/>
    </row>
    <row r="1033" spans="9:9">
      <c r="I1033" s="3"/>
    </row>
    <row r="1034" spans="9:9">
      <c r="I1034" s="3"/>
    </row>
    <row r="1035" spans="9:9">
      <c r="I1035" s="3"/>
    </row>
    <row r="1036" spans="9:9">
      <c r="I1036" s="3"/>
    </row>
    <row r="1037" spans="9:9">
      <c r="I1037" s="3"/>
    </row>
    <row r="1038" spans="9:9">
      <c r="I1038" s="3"/>
    </row>
    <row r="1039" spans="9:9">
      <c r="I1039" s="3"/>
    </row>
    <row r="1040" spans="9:9">
      <c r="I1040" s="3"/>
    </row>
    <row r="1041" spans="9:9">
      <c r="I1041" s="3"/>
    </row>
    <row r="1042" spans="9:9">
      <c r="I1042" s="3"/>
    </row>
    <row r="1043" spans="9:9">
      <c r="I1043" s="3"/>
    </row>
    <row r="1044" spans="9:9">
      <c r="I1044" s="3"/>
    </row>
    <row r="1045" spans="9:9">
      <c r="I1045" s="3"/>
    </row>
    <row r="1046" spans="9:9">
      <c r="I1046" s="3"/>
    </row>
    <row r="1047" spans="9:9">
      <c r="I1047" s="3"/>
    </row>
    <row r="1048" spans="9:9">
      <c r="I1048" s="3"/>
    </row>
    <row r="1049" spans="9:9">
      <c r="I1049" s="3"/>
    </row>
    <row r="1050" spans="9:9">
      <c r="I1050" s="3"/>
    </row>
    <row r="1051" spans="9:9">
      <c r="I1051" s="3"/>
    </row>
    <row r="1052" spans="9:9">
      <c r="I1052" s="3"/>
    </row>
    <row r="1053" spans="9:9">
      <c r="I1053" s="3"/>
    </row>
    <row r="1054" spans="9:9">
      <c r="I1054" s="3"/>
    </row>
    <row r="1055" spans="9:9">
      <c r="I1055" s="3"/>
    </row>
    <row r="1056" spans="9:9">
      <c r="I1056" s="3"/>
    </row>
    <row r="1057" spans="9:9">
      <c r="I1057" s="3"/>
    </row>
    <row r="1058" spans="9:9">
      <c r="I1058" s="3"/>
    </row>
    <row r="1059" spans="9:9">
      <c r="I1059" s="3"/>
    </row>
    <row r="1060" spans="9:9">
      <c r="I1060" s="3"/>
    </row>
    <row r="1061" spans="9:9">
      <c r="I1061" s="3"/>
    </row>
    <row r="1062" spans="9:9">
      <c r="I1062" s="3"/>
    </row>
    <row r="1063" spans="9:9">
      <c r="I1063" s="3"/>
    </row>
    <row r="1064" spans="9:9">
      <c r="I1064" s="3"/>
    </row>
    <row r="1065" spans="9:9">
      <c r="I1065" s="3"/>
    </row>
    <row r="1066" spans="9:9">
      <c r="I1066" s="3"/>
    </row>
    <row r="1067" spans="9:9">
      <c r="I1067" s="3"/>
    </row>
    <row r="1068" spans="9:9">
      <c r="I1068" s="3"/>
    </row>
    <row r="1069" spans="9:9">
      <c r="I1069" s="3"/>
    </row>
    <row r="1070" spans="9:9">
      <c r="I1070" s="3"/>
    </row>
    <row r="1071" spans="9:9">
      <c r="I1071" s="3"/>
    </row>
    <row r="1072" spans="9:9">
      <c r="I1072" s="3"/>
    </row>
    <row r="1073" spans="9:9">
      <c r="I1073" s="3"/>
    </row>
    <row r="1074" spans="9:9">
      <c r="I1074" s="3"/>
    </row>
    <row r="1075" spans="9:9">
      <c r="I1075" s="3"/>
    </row>
    <row r="1076" spans="9:9">
      <c r="I1076" s="3"/>
    </row>
    <row r="1077" spans="9:9">
      <c r="I1077" s="3"/>
    </row>
    <row r="1078" spans="9:9">
      <c r="I1078" s="3"/>
    </row>
    <row r="1079" spans="9:9">
      <c r="I1079" s="3"/>
    </row>
    <row r="1080" spans="9:9">
      <c r="I1080" s="3"/>
    </row>
    <row r="1081" spans="9:9">
      <c r="I1081" s="3"/>
    </row>
    <row r="1082" spans="9:9">
      <c r="I1082" s="3"/>
    </row>
    <row r="1083" spans="9:9">
      <c r="I1083" s="3"/>
    </row>
    <row r="1084" spans="9:9">
      <c r="I1084" s="3"/>
    </row>
    <row r="1085" spans="9:9">
      <c r="I1085" s="3"/>
    </row>
    <row r="1086" spans="9:9">
      <c r="I1086" s="3"/>
    </row>
    <row r="1087" spans="9:9">
      <c r="I1087" s="3"/>
    </row>
    <row r="1088" spans="9:9">
      <c r="I1088" s="3"/>
    </row>
    <row r="1089" spans="9:9">
      <c r="I1089" s="3"/>
    </row>
    <row r="1090" spans="9:9">
      <c r="I1090" s="3"/>
    </row>
    <row r="1091" spans="9:9">
      <c r="I1091" s="3"/>
    </row>
    <row r="1092" spans="9:9">
      <c r="I1092" s="3"/>
    </row>
    <row r="1107" spans="2:2">
      <c r="B1107" s="3"/>
    </row>
    <row r="1108" spans="2:2">
      <c r="B1108" s="3"/>
    </row>
    <row r="1109" spans="2:2">
      <c r="B1109" s="3"/>
    </row>
    <row r="1110" spans="2:2">
      <c r="B1110" s="3"/>
    </row>
    <row r="1111" spans="2:2">
      <c r="B1111" s="3"/>
    </row>
    <row r="1112" spans="2:2">
      <c r="B1112" s="3"/>
    </row>
    <row r="1113" spans="2:2">
      <c r="B1113" s="3"/>
    </row>
    <row r="1114" spans="2:2">
      <c r="B1114" s="3"/>
    </row>
    <row r="1115" spans="2:2">
      <c r="B1115" s="3"/>
    </row>
    <row r="1116" spans="2:2">
      <c r="B1116" s="3"/>
    </row>
    <row r="1117" spans="2:2">
      <c r="B1117" s="3"/>
    </row>
    <row r="1118" spans="2:2">
      <c r="B1118" s="3"/>
    </row>
    <row r="1119" spans="2:2">
      <c r="B1119" s="3"/>
    </row>
    <row r="1120" spans="2:2">
      <c r="B1120" s="3"/>
    </row>
    <row r="1121" spans="2:2">
      <c r="B1121" s="3"/>
    </row>
    <row r="1122" spans="2:2">
      <c r="B1122" s="3"/>
    </row>
    <row r="1123" spans="2:2">
      <c r="B1123" s="3"/>
    </row>
    <row r="1124" spans="2:2">
      <c r="B1124" s="3"/>
    </row>
    <row r="1125" spans="2:2">
      <c r="B1125" s="3"/>
    </row>
    <row r="1126" spans="2:2">
      <c r="B1126" s="3"/>
    </row>
    <row r="1127" spans="2:2">
      <c r="B1127" s="3"/>
    </row>
    <row r="1128" spans="2:2">
      <c r="B1128" s="3"/>
    </row>
    <row r="1129" spans="2:2">
      <c r="B1129" s="3"/>
    </row>
    <row r="1130" spans="2:2">
      <c r="B1130" s="3"/>
    </row>
    <row r="1131" spans="2:2">
      <c r="B1131" s="3"/>
    </row>
    <row r="1132" spans="2:2">
      <c r="B1132" s="3"/>
    </row>
    <row r="1133" spans="2:2">
      <c r="B1133" s="3"/>
    </row>
    <row r="1134" spans="2:2">
      <c r="B1134" s="3"/>
    </row>
    <row r="1135" spans="2:2">
      <c r="B1135" s="3"/>
    </row>
    <row r="1136" spans="2:2">
      <c r="B1136" s="3"/>
    </row>
    <row r="1137" spans="2:2">
      <c r="B1137" s="3"/>
    </row>
    <row r="1138" spans="2:2">
      <c r="B1138" s="3"/>
    </row>
    <row r="1139" spans="2:2">
      <c r="B1139" s="3"/>
    </row>
    <row r="1140" spans="2:2">
      <c r="B1140" s="3"/>
    </row>
    <row r="1141" spans="2:2">
      <c r="B1141" s="3"/>
    </row>
    <row r="1142" spans="2:2">
      <c r="B1142" s="3"/>
    </row>
    <row r="1143" spans="2:2">
      <c r="B1143" s="3"/>
    </row>
    <row r="1144" spans="2:2">
      <c r="B1144" s="3"/>
    </row>
    <row r="1145" spans="2:2">
      <c r="B1145" s="3"/>
    </row>
    <row r="1146" spans="2:2">
      <c r="B1146" s="3"/>
    </row>
    <row r="1147" spans="2:2">
      <c r="B1147" s="3"/>
    </row>
    <row r="1148" spans="2:2">
      <c r="B1148" s="3"/>
    </row>
    <row r="1149" spans="2:2">
      <c r="B1149" s="3"/>
    </row>
    <row r="1150" spans="2:2">
      <c r="B1150" s="3"/>
    </row>
    <row r="1151" spans="2:2">
      <c r="B1151" s="3"/>
    </row>
    <row r="1152" spans="2:2">
      <c r="B1152" s="3"/>
    </row>
    <row r="1153" spans="2:2">
      <c r="B1153" s="3"/>
    </row>
    <row r="1154" spans="2:2">
      <c r="B1154" s="3"/>
    </row>
    <row r="1155" spans="2:2">
      <c r="B1155" s="3"/>
    </row>
    <row r="1156" spans="2:2">
      <c r="B1156" s="3"/>
    </row>
    <row r="1157" spans="2:2">
      <c r="B1157" s="3"/>
    </row>
    <row r="1158" spans="2:2">
      <c r="B1158" s="3"/>
    </row>
    <row r="1159" spans="2:2">
      <c r="B1159" s="3"/>
    </row>
    <row r="1160" spans="2:2">
      <c r="B1160" s="3"/>
    </row>
    <row r="1161" spans="2:2">
      <c r="B1161" s="3"/>
    </row>
    <row r="1162" spans="2:2">
      <c r="B1162" s="3"/>
    </row>
    <row r="1163" spans="2:2">
      <c r="B1163" s="3"/>
    </row>
    <row r="1164" spans="2:2">
      <c r="B1164" s="3"/>
    </row>
    <row r="1165" spans="2:2">
      <c r="B1165" s="3"/>
    </row>
    <row r="1166" spans="2:2">
      <c r="B1166" s="3"/>
    </row>
    <row r="1167" spans="2:2">
      <c r="B1167" s="3"/>
    </row>
    <row r="1168" spans="2:2">
      <c r="B1168" s="3"/>
    </row>
    <row r="1169" spans="2:2">
      <c r="B1169" s="3"/>
    </row>
    <row r="1170" spans="2:2">
      <c r="B1170" s="3"/>
    </row>
    <row r="1171" spans="2:2">
      <c r="B1171" s="3"/>
    </row>
    <row r="1172" spans="2:2">
      <c r="B1172" s="3"/>
    </row>
    <row r="1173" spans="2:2">
      <c r="B1173" s="3"/>
    </row>
    <row r="1174" spans="2:2">
      <c r="B1174" s="3"/>
    </row>
    <row r="1175" spans="2:2">
      <c r="B1175" s="3"/>
    </row>
    <row r="1176" spans="2:2">
      <c r="B1176" s="3"/>
    </row>
    <row r="1177" spans="2:2">
      <c r="B1177" s="3"/>
    </row>
    <row r="1178" spans="2:2">
      <c r="B1178" s="3"/>
    </row>
    <row r="1179" spans="2:2">
      <c r="B1179" s="3"/>
    </row>
    <row r="1180" spans="2:2">
      <c r="B1180" s="3"/>
    </row>
    <row r="1181" spans="2:2">
      <c r="B1181" s="3"/>
    </row>
    <row r="1182" spans="2:2">
      <c r="B1182" s="3"/>
    </row>
    <row r="1183" spans="2:2">
      <c r="B1183" s="3"/>
    </row>
    <row r="1184" spans="2:2">
      <c r="B1184" s="3"/>
    </row>
    <row r="1185" spans="2:2">
      <c r="B1185" s="3"/>
    </row>
    <row r="1186" spans="2:2">
      <c r="B1186" s="3"/>
    </row>
    <row r="1187" spans="2:2">
      <c r="B1187" s="3"/>
    </row>
    <row r="1188" spans="2:2">
      <c r="B1188" s="3"/>
    </row>
    <row r="1189" spans="2:2">
      <c r="B1189" s="3"/>
    </row>
    <row r="1190" spans="2:2">
      <c r="B1190" s="3"/>
    </row>
    <row r="1191" spans="2:2">
      <c r="B1191" s="3"/>
    </row>
    <row r="1192" spans="2:2">
      <c r="B1192" s="3"/>
    </row>
    <row r="1193" spans="2:2">
      <c r="B1193" s="3"/>
    </row>
    <row r="1194" spans="2:2">
      <c r="B1194" s="3"/>
    </row>
    <row r="1195" spans="2:2">
      <c r="B1195" s="3"/>
    </row>
    <row r="1196" spans="2:2">
      <c r="B1196" s="3"/>
    </row>
    <row r="1197" spans="2:2">
      <c r="B1197" s="3"/>
    </row>
    <row r="1198" spans="2:2">
      <c r="B1198" s="3"/>
    </row>
    <row r="1199" spans="2:2">
      <c r="B1199" s="3"/>
    </row>
    <row r="1200" spans="2:2">
      <c r="B1200" s="3"/>
    </row>
    <row r="1201" spans="2:2">
      <c r="B1201" s="3"/>
    </row>
    <row r="1202" spans="2:2">
      <c r="B1202" s="3"/>
    </row>
    <row r="1203" spans="2:2">
      <c r="B1203" s="3"/>
    </row>
    <row r="1204" spans="2:2">
      <c r="B1204" s="3"/>
    </row>
    <row r="1205" spans="2:2">
      <c r="B1205" s="3"/>
    </row>
    <row r="1206" spans="2:2">
      <c r="B1206" s="3"/>
    </row>
    <row r="1207" spans="2:2">
      <c r="B1207" s="3"/>
    </row>
    <row r="1208" spans="2:2">
      <c r="B1208" s="3"/>
    </row>
    <row r="1209" spans="2:2">
      <c r="B1209" s="3"/>
    </row>
    <row r="1210" spans="2:2">
      <c r="B1210" s="3"/>
    </row>
    <row r="1211" spans="2:2">
      <c r="B1211" s="3"/>
    </row>
    <row r="1212" spans="2:2">
      <c r="B1212" s="3"/>
    </row>
    <row r="1213" spans="2:2">
      <c r="B1213" s="3"/>
    </row>
    <row r="1214" spans="2:2">
      <c r="B1214" s="3"/>
    </row>
    <row r="1215" spans="2:2">
      <c r="B1215" s="3"/>
    </row>
    <row r="1216" spans="2:2">
      <c r="B1216" s="3"/>
    </row>
    <row r="1217" spans="2:2">
      <c r="B1217" s="3"/>
    </row>
    <row r="1218" spans="2:2">
      <c r="B1218" s="3"/>
    </row>
    <row r="1219" spans="2:2">
      <c r="B1219" s="3"/>
    </row>
    <row r="1220" spans="2:2">
      <c r="B1220" s="3"/>
    </row>
    <row r="1221" spans="2:2">
      <c r="B1221" s="3"/>
    </row>
    <row r="1222" spans="2:2">
      <c r="B1222" s="3"/>
    </row>
    <row r="1223" spans="2:2">
      <c r="B1223" s="3"/>
    </row>
    <row r="1224" spans="2:2">
      <c r="B1224" s="3"/>
    </row>
    <row r="1225" spans="2:2">
      <c r="B1225" s="3"/>
    </row>
    <row r="1226" spans="2:2">
      <c r="B1226" s="3"/>
    </row>
    <row r="1227" spans="2:2">
      <c r="B1227" s="3"/>
    </row>
    <row r="1228" spans="2:2">
      <c r="B1228" s="3"/>
    </row>
    <row r="1229" spans="2:2">
      <c r="B1229" s="3"/>
    </row>
    <row r="1230" spans="2:2">
      <c r="B1230" s="3"/>
    </row>
    <row r="1231" spans="2:2">
      <c r="B1231" s="3"/>
    </row>
    <row r="1232" spans="2:2">
      <c r="B1232" s="3"/>
    </row>
    <row r="1233" spans="2:2">
      <c r="B1233" s="3"/>
    </row>
    <row r="1234" spans="2:2">
      <c r="B1234" s="3"/>
    </row>
    <row r="1235" spans="2:2">
      <c r="B1235" s="3"/>
    </row>
    <row r="1236" spans="2:2">
      <c r="B1236" s="3"/>
    </row>
    <row r="1237" spans="2:2">
      <c r="B1237" s="3"/>
    </row>
    <row r="1238" spans="2:2">
      <c r="B1238" s="3"/>
    </row>
    <row r="1239" spans="2:2">
      <c r="B1239" s="3"/>
    </row>
    <row r="1240" spans="2:2">
      <c r="B1240" s="3"/>
    </row>
    <row r="1241" spans="2:2">
      <c r="B1241" s="3"/>
    </row>
    <row r="1242" spans="2:2">
      <c r="B1242" s="3"/>
    </row>
    <row r="1243" spans="2:2">
      <c r="B1243" s="3"/>
    </row>
    <row r="1244" spans="2:2">
      <c r="B1244" s="3"/>
    </row>
    <row r="1245" spans="2:2">
      <c r="B1245" s="3"/>
    </row>
    <row r="1246" spans="2:2">
      <c r="B1246" s="3"/>
    </row>
    <row r="1247" spans="2:2">
      <c r="B1247" s="3"/>
    </row>
    <row r="1248" spans="2:2">
      <c r="B1248" s="3"/>
    </row>
    <row r="1249" spans="2:2">
      <c r="B1249" s="3"/>
    </row>
    <row r="1250" spans="2:2">
      <c r="B1250" s="3"/>
    </row>
    <row r="1251" spans="2:2">
      <c r="B1251" s="3"/>
    </row>
    <row r="1252" spans="2:2">
      <c r="B1252" s="3"/>
    </row>
    <row r="1253" spans="2:2">
      <c r="B1253" s="3"/>
    </row>
    <row r="1254" spans="2:2">
      <c r="B1254" s="3"/>
    </row>
    <row r="1255" spans="2:2">
      <c r="B1255" s="3"/>
    </row>
    <row r="1256" spans="2:2">
      <c r="B1256" s="3"/>
    </row>
    <row r="1257" spans="2:2">
      <c r="B1257" s="3"/>
    </row>
    <row r="1258" spans="2:2">
      <c r="B1258" s="3"/>
    </row>
    <row r="1259" spans="2:2">
      <c r="B1259" s="3"/>
    </row>
    <row r="1260" spans="2:2">
      <c r="B1260" s="3"/>
    </row>
    <row r="1261" spans="2:2">
      <c r="B1261" s="3"/>
    </row>
    <row r="1262" spans="2:2">
      <c r="B1262" s="3"/>
    </row>
    <row r="1263" spans="2:2">
      <c r="B1263" s="3"/>
    </row>
    <row r="1264" spans="2:2">
      <c r="B1264" s="3"/>
    </row>
    <row r="1265" spans="2:2">
      <c r="B1265" s="3"/>
    </row>
    <row r="1266" spans="2:2">
      <c r="B1266" s="3"/>
    </row>
    <row r="1267" spans="2:2">
      <c r="B1267" s="3"/>
    </row>
    <row r="1268" spans="2:2">
      <c r="B1268" s="3"/>
    </row>
    <row r="1269" spans="2:2">
      <c r="B1269" s="3"/>
    </row>
    <row r="1270" spans="2:2">
      <c r="B1270" s="3"/>
    </row>
    <row r="1271" spans="2:2">
      <c r="B1271" s="3"/>
    </row>
    <row r="1272" spans="2:2">
      <c r="B1272" s="3"/>
    </row>
    <row r="1273" spans="2:2">
      <c r="B1273" s="3"/>
    </row>
    <row r="1274" spans="2:2">
      <c r="B1274" s="3"/>
    </row>
    <row r="1275" spans="2:2">
      <c r="B1275" s="3"/>
    </row>
    <row r="1276" spans="2:2">
      <c r="B1276" s="3"/>
    </row>
    <row r="1277" spans="2:2">
      <c r="B1277" s="3"/>
    </row>
    <row r="1278" spans="2:2">
      <c r="B1278" s="3"/>
    </row>
    <row r="1279" spans="2:2">
      <c r="B1279" s="3"/>
    </row>
    <row r="1280" spans="2:2">
      <c r="B1280" s="3"/>
    </row>
    <row r="1281" spans="2:2">
      <c r="B1281" s="3"/>
    </row>
    <row r="1282" spans="2:2">
      <c r="B1282" s="3"/>
    </row>
    <row r="1283" spans="2:2">
      <c r="B1283" s="3"/>
    </row>
    <row r="1284" spans="2:2">
      <c r="B1284" s="3"/>
    </row>
    <row r="1285" spans="2:2">
      <c r="B1285" s="3"/>
    </row>
    <row r="1286" spans="2:2">
      <c r="B1286" s="3"/>
    </row>
    <row r="1287" spans="2:2">
      <c r="B1287" s="3"/>
    </row>
    <row r="1288" spans="2:2">
      <c r="B1288" s="3"/>
    </row>
    <row r="1289" spans="2:2">
      <c r="B1289" s="3"/>
    </row>
    <row r="1290" spans="2:2">
      <c r="B1290" s="3"/>
    </row>
    <row r="1291" spans="2:2">
      <c r="B1291" s="3"/>
    </row>
    <row r="1292" spans="2:2">
      <c r="B1292" s="3"/>
    </row>
    <row r="1293" spans="2:2">
      <c r="B1293" s="3"/>
    </row>
    <row r="1294" spans="2:2">
      <c r="B1294" s="3"/>
    </row>
    <row r="1295" spans="2:2">
      <c r="B1295" s="3"/>
    </row>
    <row r="1296" spans="2:2">
      <c r="B1296" s="3"/>
    </row>
    <row r="1297" spans="2:2">
      <c r="B1297" s="3"/>
    </row>
    <row r="1298" spans="2:2">
      <c r="B1298" s="3"/>
    </row>
    <row r="1299" spans="2:2">
      <c r="B1299" s="3"/>
    </row>
    <row r="1300" spans="2:2">
      <c r="B1300" s="3"/>
    </row>
    <row r="1301" spans="2:2">
      <c r="B1301" s="3"/>
    </row>
    <row r="1302" spans="2:2">
      <c r="B1302" s="3"/>
    </row>
    <row r="1303" spans="2:2">
      <c r="B1303" s="3"/>
    </row>
    <row r="1304" spans="2:2">
      <c r="B1304" s="3"/>
    </row>
    <row r="1305" spans="2:2">
      <c r="B1305" s="3"/>
    </row>
    <row r="1306" spans="2:2">
      <c r="B1306" s="3"/>
    </row>
    <row r="1307" spans="2:2">
      <c r="B1307" s="3"/>
    </row>
    <row r="1308" spans="2:2">
      <c r="B1308" s="3"/>
    </row>
    <row r="1309" spans="2:2">
      <c r="B1309" s="3"/>
    </row>
    <row r="1310" spans="2:2">
      <c r="B1310" s="3"/>
    </row>
    <row r="1311" spans="2:2">
      <c r="B1311" s="3"/>
    </row>
    <row r="1312" spans="2:2">
      <c r="B1312" s="3"/>
    </row>
    <row r="1313" spans="2:2">
      <c r="B1313" s="3"/>
    </row>
    <row r="1314" spans="2:2">
      <c r="B1314" s="3"/>
    </row>
    <row r="1315" spans="2:2">
      <c r="B1315" s="3"/>
    </row>
    <row r="1316" spans="2:2">
      <c r="B1316" s="3"/>
    </row>
    <row r="1317" spans="2:2">
      <c r="B1317" s="3"/>
    </row>
    <row r="1318" spans="2:2">
      <c r="B1318" s="3"/>
    </row>
    <row r="1319" spans="2:2">
      <c r="B1319" s="3"/>
    </row>
    <row r="1320" spans="2:2">
      <c r="B1320" s="3"/>
    </row>
    <row r="1321" spans="2:2">
      <c r="B1321" s="3"/>
    </row>
    <row r="1322" spans="2:2">
      <c r="B1322" s="3"/>
    </row>
    <row r="1323" spans="2:2">
      <c r="B1323" s="3"/>
    </row>
    <row r="1324" spans="2:2">
      <c r="B1324" s="3"/>
    </row>
    <row r="1325" spans="2:2">
      <c r="B1325" s="3"/>
    </row>
    <row r="1326" spans="2:2">
      <c r="B1326" s="3"/>
    </row>
    <row r="1327" spans="2:2">
      <c r="B1327" s="3"/>
    </row>
    <row r="1328" spans="2:2">
      <c r="B1328" s="3"/>
    </row>
    <row r="1329" spans="2:2">
      <c r="B1329" s="3"/>
    </row>
    <row r="1330" spans="2:2">
      <c r="B1330" s="3"/>
    </row>
    <row r="1331" spans="2:2">
      <c r="B1331" s="3"/>
    </row>
    <row r="1332" spans="2:2">
      <c r="B1332" s="3"/>
    </row>
    <row r="1333" spans="2:2">
      <c r="B1333" s="3"/>
    </row>
    <row r="1334" spans="2:2">
      <c r="B1334" s="3"/>
    </row>
    <row r="1335" spans="2:2">
      <c r="B1335" s="3"/>
    </row>
    <row r="1336" spans="2:2">
      <c r="B1336" s="3"/>
    </row>
    <row r="1337" spans="2:2">
      <c r="B1337" s="3"/>
    </row>
    <row r="1338" spans="2:2">
      <c r="B1338" s="3"/>
    </row>
    <row r="1339" spans="2:2">
      <c r="B1339" s="3"/>
    </row>
    <row r="1340" spans="2:2">
      <c r="B1340" s="3"/>
    </row>
    <row r="1341" spans="2:2">
      <c r="B1341" s="3"/>
    </row>
    <row r="1342" spans="2:2">
      <c r="B1342" s="3"/>
    </row>
    <row r="1343" spans="2:2">
      <c r="B1343" s="3"/>
    </row>
    <row r="1344" spans="2:2">
      <c r="B1344" s="3"/>
    </row>
    <row r="1345" spans="2:2">
      <c r="B1345" s="3"/>
    </row>
    <row r="1346" spans="2:2">
      <c r="B1346" s="3"/>
    </row>
    <row r="1347" spans="2:2">
      <c r="B1347" s="3"/>
    </row>
    <row r="1348" spans="2:2">
      <c r="B1348" s="3"/>
    </row>
    <row r="1349" spans="2:2">
      <c r="B1349" s="3"/>
    </row>
    <row r="1350" spans="2:2">
      <c r="B1350" s="3"/>
    </row>
    <row r="1351" spans="2:2">
      <c r="B1351" s="3"/>
    </row>
    <row r="1352" spans="2:2">
      <c r="B1352" s="3"/>
    </row>
    <row r="1353" spans="2:2">
      <c r="B1353" s="3"/>
    </row>
    <row r="1354" spans="2:2">
      <c r="B1354" s="3"/>
    </row>
    <row r="1355" spans="2:2">
      <c r="B1355" s="3"/>
    </row>
    <row r="1356" spans="2:2">
      <c r="B1356" s="3"/>
    </row>
    <row r="1357" spans="2:2">
      <c r="B1357" s="3"/>
    </row>
    <row r="1358" spans="2:2">
      <c r="B1358" s="3"/>
    </row>
    <row r="1359" spans="2:2">
      <c r="B1359" s="3"/>
    </row>
    <row r="1360" spans="2:2">
      <c r="B1360" s="3"/>
    </row>
    <row r="1361" spans="2:2">
      <c r="B1361" s="3"/>
    </row>
    <row r="1362" spans="2:2">
      <c r="B1362" s="3"/>
    </row>
    <row r="1363" spans="2:2">
      <c r="B1363" s="3"/>
    </row>
    <row r="1364" spans="2:2">
      <c r="B1364" s="3"/>
    </row>
    <row r="1365" spans="2:2">
      <c r="B1365" s="3"/>
    </row>
    <row r="1366" spans="2:2">
      <c r="B1366" s="3"/>
    </row>
    <row r="1367" spans="2:2">
      <c r="B1367" s="3"/>
    </row>
    <row r="1368" spans="2:2">
      <c r="B1368" s="3"/>
    </row>
    <row r="1369" spans="2:2">
      <c r="B1369" s="3"/>
    </row>
    <row r="1370" spans="2:2">
      <c r="B1370" s="3"/>
    </row>
    <row r="1371" spans="2:2">
      <c r="B1371" s="3"/>
    </row>
    <row r="1372" spans="2:2">
      <c r="B1372" s="3"/>
    </row>
    <row r="1373" spans="2:2">
      <c r="B1373" s="3"/>
    </row>
    <row r="1374" spans="2:2">
      <c r="B1374" s="3"/>
    </row>
    <row r="1375" spans="2:2">
      <c r="B1375" s="3"/>
    </row>
    <row r="1376" spans="2:2">
      <c r="B1376" s="3"/>
    </row>
    <row r="1377" spans="2:2">
      <c r="B1377" s="3"/>
    </row>
    <row r="1378" spans="2:2">
      <c r="B1378" s="3"/>
    </row>
    <row r="1379" spans="2:2">
      <c r="B1379" s="3"/>
    </row>
    <row r="1380" spans="2:2">
      <c r="B1380" s="3"/>
    </row>
    <row r="1381" spans="2:2">
      <c r="B1381" s="3"/>
    </row>
    <row r="1382" spans="2:2">
      <c r="B1382" s="3"/>
    </row>
    <row r="1383" spans="2:2">
      <c r="B1383" s="3"/>
    </row>
    <row r="1384" spans="2:2">
      <c r="B1384" s="3"/>
    </row>
    <row r="1385" spans="2:2">
      <c r="B1385" s="3"/>
    </row>
    <row r="1386" spans="2:2">
      <c r="B1386" s="3"/>
    </row>
    <row r="1387" spans="2:2">
      <c r="B1387" s="3"/>
    </row>
    <row r="1388" spans="2:2">
      <c r="B1388" s="3"/>
    </row>
    <row r="1389" spans="2:2">
      <c r="B1389" s="3"/>
    </row>
    <row r="1390" spans="2:2">
      <c r="B1390" s="3"/>
    </row>
    <row r="1391" spans="2:2">
      <c r="B1391" s="3"/>
    </row>
    <row r="1392" spans="2:2">
      <c r="B1392" s="3"/>
    </row>
    <row r="1393" spans="2:2">
      <c r="B1393" s="3"/>
    </row>
    <row r="1394" spans="2:2">
      <c r="B1394" s="3"/>
    </row>
    <row r="1395" spans="2:2">
      <c r="B1395" s="3"/>
    </row>
    <row r="1396" spans="2:2">
      <c r="B1396" s="3"/>
    </row>
    <row r="1397" spans="2:2">
      <c r="B1397" s="3"/>
    </row>
    <row r="1398" spans="2:2">
      <c r="B1398" s="3"/>
    </row>
    <row r="1399" spans="2:2">
      <c r="B1399" s="3"/>
    </row>
    <row r="1400" spans="2:2">
      <c r="B1400" s="3"/>
    </row>
    <row r="1401" spans="2:2">
      <c r="B1401" s="3"/>
    </row>
    <row r="1402" spans="2:2">
      <c r="B1402" s="3"/>
    </row>
    <row r="1403" spans="2:2">
      <c r="B1403" s="3"/>
    </row>
    <row r="1404" spans="2:2">
      <c r="B1404" s="3"/>
    </row>
    <row r="1405" spans="2:2">
      <c r="B1405" s="3"/>
    </row>
    <row r="1406" spans="2:2">
      <c r="B1406" s="3"/>
    </row>
    <row r="1407" spans="2:2">
      <c r="B1407" s="3"/>
    </row>
    <row r="1408" spans="2:2">
      <c r="B1408" s="3"/>
    </row>
    <row r="1409" spans="2:2">
      <c r="B1409" s="3"/>
    </row>
    <row r="1410" spans="2:2">
      <c r="B1410" s="3"/>
    </row>
    <row r="1411" spans="2:2">
      <c r="B1411" s="3"/>
    </row>
    <row r="1412" spans="2:2">
      <c r="B1412" s="3"/>
    </row>
    <row r="1413" spans="2:2">
      <c r="B1413" s="3"/>
    </row>
    <row r="1414" spans="2:2">
      <c r="B1414" s="3"/>
    </row>
    <row r="1415" spans="2:2">
      <c r="B1415" s="3"/>
    </row>
    <row r="1416" spans="2:2">
      <c r="B1416" s="3"/>
    </row>
    <row r="1417" spans="2:2">
      <c r="B1417" s="3"/>
    </row>
    <row r="1418" spans="2:2">
      <c r="B1418" s="3"/>
    </row>
    <row r="1419" spans="2:2">
      <c r="B1419" s="3"/>
    </row>
    <row r="1420" spans="2:2">
      <c r="B1420" s="3"/>
    </row>
    <row r="1421" spans="2:2">
      <c r="B1421" s="3"/>
    </row>
    <row r="1422" spans="2:2">
      <c r="B1422" s="3"/>
    </row>
    <row r="1423" spans="2:2">
      <c r="B1423" s="3"/>
    </row>
    <row r="1424" spans="2:2">
      <c r="B1424" s="3"/>
    </row>
    <row r="1425" spans="2:2">
      <c r="B1425" s="3"/>
    </row>
    <row r="1426" spans="2:2">
      <c r="B1426" s="3"/>
    </row>
    <row r="1427" spans="2:2">
      <c r="B1427" s="3"/>
    </row>
    <row r="1428" spans="2:2">
      <c r="B1428" s="3"/>
    </row>
    <row r="1429" spans="2:2">
      <c r="B1429" s="3"/>
    </row>
    <row r="1430" spans="2:2">
      <c r="B1430" s="3"/>
    </row>
    <row r="1431" spans="2:2">
      <c r="B1431" s="3"/>
    </row>
    <row r="1432" spans="2:2">
      <c r="B1432" s="3"/>
    </row>
    <row r="1433" spans="2:2">
      <c r="B1433" s="3"/>
    </row>
    <row r="1434" spans="2:2">
      <c r="B1434" s="3"/>
    </row>
    <row r="1435" spans="2:2">
      <c r="B1435" s="3"/>
    </row>
    <row r="1436" spans="2:2">
      <c r="B1436" s="3"/>
    </row>
    <row r="1437" spans="2:2">
      <c r="B1437" s="3"/>
    </row>
    <row r="1438" spans="2:2">
      <c r="B1438" s="3"/>
    </row>
    <row r="1439" spans="2:2">
      <c r="B1439" s="3"/>
    </row>
    <row r="1440" spans="2:2">
      <c r="B1440" s="3"/>
    </row>
    <row r="1441" spans="2:2">
      <c r="B1441" s="3"/>
    </row>
    <row r="1442" spans="2:2">
      <c r="B1442" s="3"/>
    </row>
    <row r="1443" spans="2:2">
      <c r="B1443" s="3"/>
    </row>
    <row r="1444" spans="2:2">
      <c r="B1444" s="3"/>
    </row>
    <row r="1445" spans="2:2">
      <c r="B1445" s="3"/>
    </row>
    <row r="1446" spans="2:2">
      <c r="B1446" s="3"/>
    </row>
    <row r="1447" spans="2:2">
      <c r="B1447" s="3"/>
    </row>
    <row r="1448" spans="2:2">
      <c r="B1448" s="3"/>
    </row>
    <row r="1449" spans="2:2">
      <c r="B1449" s="3"/>
    </row>
    <row r="1450" spans="2:2">
      <c r="B1450" s="3"/>
    </row>
    <row r="1451" spans="2:2">
      <c r="B1451" s="3"/>
    </row>
    <row r="1452" spans="2:2">
      <c r="B1452" s="3"/>
    </row>
    <row r="1453" spans="2:2">
      <c r="B1453" s="3"/>
    </row>
    <row r="1454" spans="2:2">
      <c r="B1454" s="3"/>
    </row>
    <row r="1455" spans="2:2">
      <c r="B1455" s="3"/>
    </row>
    <row r="1456" spans="2:2">
      <c r="B1456" s="3"/>
    </row>
    <row r="1457" spans="2:2">
      <c r="B1457" s="3"/>
    </row>
    <row r="1458" spans="2:2">
      <c r="B1458" s="3"/>
    </row>
    <row r="1459" spans="2:2">
      <c r="B1459" s="3"/>
    </row>
    <row r="1460" spans="2:2">
      <c r="B1460" s="3"/>
    </row>
    <row r="1461" spans="2:2">
      <c r="B1461" s="3"/>
    </row>
    <row r="1462" spans="2:2">
      <c r="B1462" s="3"/>
    </row>
    <row r="1463" spans="2:2">
      <c r="B1463" s="3"/>
    </row>
    <row r="1464" spans="2:2">
      <c r="B1464" s="3"/>
    </row>
    <row r="1465" spans="2:2">
      <c r="B1465" s="3"/>
    </row>
    <row r="1466" spans="2:2">
      <c r="B1466" s="3"/>
    </row>
    <row r="1467" spans="2:2">
      <c r="B1467" s="3"/>
    </row>
    <row r="1468" spans="2:2">
      <c r="B1468" s="3"/>
    </row>
    <row r="1469" spans="2:2">
      <c r="B1469" s="3"/>
    </row>
    <row r="1470" spans="2:2">
      <c r="B1470" s="3"/>
    </row>
    <row r="1471" spans="2:2">
      <c r="B1471" s="3"/>
    </row>
    <row r="1472" spans="2:2">
      <c r="B1472" s="3"/>
    </row>
    <row r="1473" spans="2:2">
      <c r="B1473" s="3"/>
    </row>
    <row r="1474" spans="2:2">
      <c r="B1474" s="3"/>
    </row>
    <row r="1475" spans="2:2">
      <c r="B1475" s="3"/>
    </row>
    <row r="1476" spans="2:2">
      <c r="B1476" s="3"/>
    </row>
    <row r="1477" spans="2:2">
      <c r="B1477" s="3"/>
    </row>
    <row r="1478" spans="2:2">
      <c r="B1478" s="3"/>
    </row>
    <row r="1479" spans="2:2">
      <c r="B1479" s="3"/>
    </row>
    <row r="1480" spans="2:2">
      <c r="B1480" s="3"/>
    </row>
    <row r="1481" spans="2:2">
      <c r="B1481" s="3"/>
    </row>
    <row r="1482" spans="2:2">
      <c r="B1482" s="3"/>
    </row>
    <row r="1483" spans="2:2">
      <c r="B1483" s="3"/>
    </row>
    <row r="1484" spans="2:2">
      <c r="B1484" s="3"/>
    </row>
    <row r="1485" spans="2:2">
      <c r="B1485" s="3"/>
    </row>
    <row r="1486" spans="2:2">
      <c r="B1486" s="3"/>
    </row>
    <row r="1487" spans="2:2">
      <c r="B1487" s="3"/>
    </row>
    <row r="1488" spans="2:2">
      <c r="B1488" s="3"/>
    </row>
    <row r="1489" spans="2:2">
      <c r="B1489" s="3"/>
    </row>
    <row r="1490" spans="2:2">
      <c r="B1490" s="3"/>
    </row>
    <row r="1491" spans="2:2">
      <c r="B1491" s="3"/>
    </row>
    <row r="1492" spans="2:2">
      <c r="B1492" s="3"/>
    </row>
    <row r="1493" spans="2:2">
      <c r="B1493" s="3"/>
    </row>
    <row r="1494" spans="2:2">
      <c r="B1494" s="3"/>
    </row>
    <row r="1495" spans="2:2">
      <c r="B1495" s="3"/>
    </row>
    <row r="1496" spans="2:2">
      <c r="B1496" s="3"/>
    </row>
    <row r="1497" spans="2:2">
      <c r="B1497" s="3"/>
    </row>
    <row r="1498" spans="2:2">
      <c r="B1498" s="3"/>
    </row>
    <row r="1499" spans="2:2">
      <c r="B1499" s="3"/>
    </row>
    <row r="1500" spans="2:2">
      <c r="B1500" s="3"/>
    </row>
    <row r="1501" spans="2:2">
      <c r="B1501" s="3"/>
    </row>
    <row r="1502" spans="2:2">
      <c r="B1502" s="3"/>
    </row>
    <row r="1503" spans="2:2">
      <c r="B1503" s="3"/>
    </row>
    <row r="1504" spans="2:2">
      <c r="B1504" s="3"/>
    </row>
    <row r="1505" spans="2:2">
      <c r="B1505" s="3"/>
    </row>
    <row r="1506" spans="2:2">
      <c r="B1506" s="3"/>
    </row>
    <row r="1507" spans="2:2">
      <c r="B1507" s="3"/>
    </row>
    <row r="1508" spans="2:2">
      <c r="B1508" s="3"/>
    </row>
    <row r="1509" spans="2:2">
      <c r="B1509" s="3"/>
    </row>
    <row r="1510" spans="2:2">
      <c r="B1510" s="3"/>
    </row>
    <row r="1511" spans="2:2">
      <c r="B1511" s="3"/>
    </row>
    <row r="1512" spans="2:2">
      <c r="B1512" s="3"/>
    </row>
    <row r="1513" spans="2:2">
      <c r="B1513" s="3"/>
    </row>
    <row r="1514" spans="2:2">
      <c r="B1514" s="3"/>
    </row>
    <row r="1515" spans="2:2">
      <c r="B1515" s="3"/>
    </row>
    <row r="1516" spans="2:2">
      <c r="B1516" s="3"/>
    </row>
    <row r="1517" spans="2:2">
      <c r="B1517" s="3"/>
    </row>
    <row r="1518" spans="2:2">
      <c r="B1518" s="3"/>
    </row>
    <row r="1519" spans="2:2">
      <c r="B1519" s="3"/>
    </row>
    <row r="1520" spans="2:2">
      <c r="B1520" s="3"/>
    </row>
    <row r="1521" spans="2:2">
      <c r="B1521" s="3"/>
    </row>
    <row r="1522" spans="2:2">
      <c r="B1522" s="3"/>
    </row>
    <row r="1523" spans="2:2">
      <c r="B1523" s="3"/>
    </row>
    <row r="1524" spans="2:2">
      <c r="B1524" s="3"/>
    </row>
    <row r="1525" spans="2:2">
      <c r="B1525" s="3"/>
    </row>
    <row r="1526" spans="2:2">
      <c r="B1526" s="3"/>
    </row>
    <row r="1527" spans="2:2">
      <c r="B1527" s="3"/>
    </row>
    <row r="1528" spans="2:2">
      <c r="B1528" s="3"/>
    </row>
    <row r="1529" spans="2:2">
      <c r="B1529" s="3"/>
    </row>
    <row r="1530" spans="2:2">
      <c r="B1530" s="3"/>
    </row>
    <row r="1531" spans="2:2">
      <c r="B1531" s="3"/>
    </row>
    <row r="1532" spans="2:2">
      <c r="B1532" s="3"/>
    </row>
    <row r="1533" spans="2:2">
      <c r="B1533" s="3"/>
    </row>
    <row r="1534" spans="2:2">
      <c r="B1534" s="3"/>
    </row>
    <row r="1535" spans="2:2">
      <c r="B1535" s="3"/>
    </row>
    <row r="1536" spans="2:2">
      <c r="B1536" s="3"/>
    </row>
    <row r="1537" spans="2:2">
      <c r="B1537" s="3"/>
    </row>
    <row r="1538" spans="2:2">
      <c r="B1538" s="3"/>
    </row>
    <row r="1539" spans="2:2">
      <c r="B1539" s="3"/>
    </row>
    <row r="1540" spans="2:2">
      <c r="B1540" s="3"/>
    </row>
    <row r="1541" spans="2:2">
      <c r="B1541" s="3"/>
    </row>
    <row r="1542" spans="2:2">
      <c r="B1542" s="3"/>
    </row>
    <row r="1543" spans="2:2">
      <c r="B1543" s="3"/>
    </row>
    <row r="1544" spans="2:2">
      <c r="B1544" s="3"/>
    </row>
    <row r="1545" spans="2:2">
      <c r="B1545" s="3"/>
    </row>
    <row r="1546" spans="2:2">
      <c r="B1546" s="3"/>
    </row>
    <row r="1547" spans="2:2">
      <c r="B1547" s="3"/>
    </row>
    <row r="1548" spans="2:2">
      <c r="B1548" s="3"/>
    </row>
    <row r="1549" spans="2:2">
      <c r="B1549" s="3"/>
    </row>
    <row r="1550" spans="2:2">
      <c r="B1550" s="3"/>
    </row>
    <row r="1551" spans="2:2">
      <c r="B1551" s="3"/>
    </row>
    <row r="1552" spans="2:2">
      <c r="B1552" s="3"/>
    </row>
    <row r="1553" spans="2:2">
      <c r="B1553" s="3"/>
    </row>
    <row r="1554" spans="2:2">
      <c r="B1554" s="3"/>
    </row>
    <row r="1555" spans="2:2">
      <c r="B1555" s="3"/>
    </row>
    <row r="1556" spans="2:2">
      <c r="B1556" s="3"/>
    </row>
    <row r="1557" spans="2:2">
      <c r="B1557" s="3"/>
    </row>
    <row r="1558" spans="2:2">
      <c r="B1558" s="3"/>
    </row>
    <row r="1559" spans="2:2">
      <c r="B1559" s="3"/>
    </row>
    <row r="1560" spans="2:2">
      <c r="B1560" s="3"/>
    </row>
    <row r="1561" spans="2:2">
      <c r="B1561" s="3"/>
    </row>
    <row r="1562" spans="2:2">
      <c r="B1562" s="3"/>
    </row>
    <row r="1563" spans="2:2">
      <c r="B1563" s="3"/>
    </row>
    <row r="1564" spans="2:2">
      <c r="B1564" s="3"/>
    </row>
    <row r="1565" spans="2:2">
      <c r="B1565" s="3"/>
    </row>
    <row r="1566" spans="2:2">
      <c r="B1566" s="3"/>
    </row>
    <row r="1567" spans="2:2">
      <c r="B1567" s="3"/>
    </row>
    <row r="1568" spans="2:2">
      <c r="B1568" s="3"/>
    </row>
    <row r="1569" spans="2:2">
      <c r="B1569" s="3"/>
    </row>
    <row r="1570" spans="2:2">
      <c r="B1570" s="3"/>
    </row>
    <row r="1571" spans="2:2">
      <c r="B1571" s="3"/>
    </row>
    <row r="1572" spans="2:2">
      <c r="B1572" s="3"/>
    </row>
    <row r="1573" spans="2:2">
      <c r="B1573" s="3"/>
    </row>
    <row r="1574" spans="2:2">
      <c r="B1574" s="3"/>
    </row>
    <row r="1575" spans="2:2">
      <c r="B1575" s="3"/>
    </row>
    <row r="1576" spans="2:2">
      <c r="B1576" s="3"/>
    </row>
    <row r="1577" spans="2:2">
      <c r="B1577" s="3"/>
    </row>
    <row r="1578" spans="2:2">
      <c r="B1578" s="3"/>
    </row>
    <row r="1579" spans="2:2">
      <c r="B1579" s="3"/>
    </row>
    <row r="1580" spans="2:2">
      <c r="B1580" s="3"/>
    </row>
    <row r="1581" spans="2:2">
      <c r="B1581" s="3"/>
    </row>
    <row r="1582" spans="2:2">
      <c r="B1582" s="3"/>
    </row>
    <row r="1583" spans="2:2">
      <c r="B1583" s="3"/>
    </row>
    <row r="1584" spans="2:2">
      <c r="B1584" s="3"/>
    </row>
    <row r="1585" spans="2:2">
      <c r="B1585" s="3"/>
    </row>
    <row r="1586" spans="2:2">
      <c r="B1586" s="3"/>
    </row>
    <row r="1587" spans="2:2">
      <c r="B1587" s="3"/>
    </row>
    <row r="1588" spans="2:2">
      <c r="B1588" s="3"/>
    </row>
    <row r="1589" spans="2:2">
      <c r="B1589" s="3"/>
    </row>
    <row r="1590" spans="2:2">
      <c r="B1590" s="3"/>
    </row>
    <row r="1591" spans="2:2">
      <c r="B1591" s="3"/>
    </row>
    <row r="1592" spans="2:2">
      <c r="B1592" s="3"/>
    </row>
    <row r="1593" spans="2:2">
      <c r="B1593" s="3"/>
    </row>
    <row r="1594" spans="2:2">
      <c r="B1594" s="3"/>
    </row>
    <row r="1595" spans="2:2">
      <c r="B1595" s="3"/>
    </row>
    <row r="1596" spans="2:2">
      <c r="B1596" s="3"/>
    </row>
    <row r="1597" spans="2:2">
      <c r="B1597" s="3"/>
    </row>
    <row r="1598" spans="2:2">
      <c r="B1598" s="3"/>
    </row>
    <row r="1599" spans="2:2">
      <c r="B1599" s="3"/>
    </row>
    <row r="1600" spans="2:2">
      <c r="B1600" s="3"/>
    </row>
    <row r="1601" spans="2:2">
      <c r="B1601" s="3"/>
    </row>
    <row r="1602" spans="2:2">
      <c r="B1602" s="3"/>
    </row>
    <row r="1603" spans="2:2">
      <c r="B1603" s="3"/>
    </row>
    <row r="1604" spans="2:2">
      <c r="B1604" s="3"/>
    </row>
    <row r="1605" spans="2:2">
      <c r="B1605" s="3"/>
    </row>
    <row r="1606" spans="2:2">
      <c r="B1606" s="3"/>
    </row>
    <row r="1607" spans="2:2">
      <c r="B1607" s="3"/>
    </row>
    <row r="1608" spans="2:2">
      <c r="B1608" s="3"/>
    </row>
    <row r="1609" spans="2:2">
      <c r="B1609" s="3"/>
    </row>
    <row r="1610" spans="2:2">
      <c r="B1610" s="3"/>
    </row>
    <row r="1611" spans="2:2">
      <c r="B1611" s="3"/>
    </row>
    <row r="1612" spans="2:2">
      <c r="B1612" s="3"/>
    </row>
    <row r="1613" spans="2:2">
      <c r="B1613" s="3"/>
    </row>
    <row r="1614" spans="2:2">
      <c r="B1614" s="3"/>
    </row>
    <row r="1615" spans="2:2">
      <c r="B1615" s="3"/>
    </row>
    <row r="1616" spans="2:2">
      <c r="B1616" s="3"/>
    </row>
    <row r="1617" spans="2:2">
      <c r="B1617" s="3"/>
    </row>
    <row r="1618" spans="2:2">
      <c r="B1618" s="3"/>
    </row>
    <row r="1619" spans="2:2">
      <c r="B1619" s="3"/>
    </row>
    <row r="1620" spans="2:2">
      <c r="B1620" s="3"/>
    </row>
    <row r="1621" spans="2:2">
      <c r="B1621" s="3"/>
    </row>
    <row r="1622" spans="2:2">
      <c r="B1622" s="3"/>
    </row>
    <row r="1623" spans="2:2">
      <c r="B1623" s="3"/>
    </row>
    <row r="1624" spans="2:2">
      <c r="B1624" s="3"/>
    </row>
    <row r="1625" spans="2:2">
      <c r="B1625" s="3"/>
    </row>
    <row r="1626" spans="2:2">
      <c r="B1626" s="3"/>
    </row>
    <row r="1627" spans="2:2">
      <c r="B1627" s="3"/>
    </row>
    <row r="1628" spans="2:2">
      <c r="B1628" s="3"/>
    </row>
    <row r="1629" spans="2:2">
      <c r="B1629" s="3"/>
    </row>
    <row r="1630" spans="2:2">
      <c r="B1630" s="3"/>
    </row>
    <row r="1631" spans="2:2">
      <c r="B1631" s="3"/>
    </row>
    <row r="1632" spans="2:2">
      <c r="B1632" s="3"/>
    </row>
    <row r="1633" spans="2:2">
      <c r="B1633" s="3"/>
    </row>
    <row r="1634" spans="2:2">
      <c r="B1634" s="3"/>
    </row>
    <row r="1635" spans="2:2">
      <c r="B1635" s="3"/>
    </row>
    <row r="1636" spans="2:2">
      <c r="B1636" s="3"/>
    </row>
    <row r="1637" spans="2:2">
      <c r="B1637" s="3"/>
    </row>
    <row r="1638" spans="2:2">
      <c r="B1638" s="3"/>
    </row>
    <row r="1639" spans="2:2">
      <c r="B1639" s="3"/>
    </row>
    <row r="1640" spans="2:2">
      <c r="B1640" s="3"/>
    </row>
    <row r="1641" spans="2:2">
      <c r="B1641" s="3"/>
    </row>
    <row r="1642" spans="2:2">
      <c r="B1642" s="3"/>
    </row>
    <row r="1643" spans="2:2">
      <c r="B1643" s="3"/>
    </row>
    <row r="1644" spans="2:2">
      <c r="B1644" s="3"/>
    </row>
    <row r="1645" spans="2:2">
      <c r="B1645" s="3"/>
    </row>
    <row r="1646" spans="2:2">
      <c r="B1646" s="3"/>
    </row>
    <row r="1647" spans="2:2">
      <c r="B1647" s="3"/>
    </row>
    <row r="1648" spans="2:2">
      <c r="B1648" s="3"/>
    </row>
    <row r="1649" spans="2:2">
      <c r="B1649" s="3"/>
    </row>
    <row r="1650" spans="2:2">
      <c r="B1650" s="3"/>
    </row>
    <row r="1651" spans="2:2">
      <c r="B1651" s="3"/>
    </row>
    <row r="1652" spans="2:2">
      <c r="B1652" s="3"/>
    </row>
    <row r="1653" spans="2:2">
      <c r="B1653" s="3"/>
    </row>
    <row r="1654" spans="2:2">
      <c r="B1654" s="3"/>
    </row>
    <row r="1655" spans="2:2">
      <c r="B1655" s="3"/>
    </row>
    <row r="1656" spans="2:2">
      <c r="B1656" s="3"/>
    </row>
    <row r="1657" spans="2:2">
      <c r="B1657" s="3"/>
    </row>
    <row r="1658" spans="2:2">
      <c r="B1658" s="3"/>
    </row>
    <row r="1659" spans="2:2">
      <c r="B1659" s="3"/>
    </row>
    <row r="1660" spans="2:2">
      <c r="B1660" s="3"/>
    </row>
    <row r="1661" spans="2:2">
      <c r="B1661" s="3"/>
    </row>
    <row r="1662" spans="2:2">
      <c r="B1662" s="3"/>
    </row>
    <row r="1663" spans="2:2">
      <c r="B1663" s="3"/>
    </row>
    <row r="1664" spans="2:2">
      <c r="B1664" s="3"/>
    </row>
    <row r="1665" spans="2:2">
      <c r="B1665" s="3"/>
    </row>
    <row r="1666" spans="2:2">
      <c r="B1666" s="3"/>
    </row>
    <row r="1667" spans="2:2">
      <c r="B1667" s="3"/>
    </row>
    <row r="1668" spans="2:2">
      <c r="B1668" s="3"/>
    </row>
    <row r="1669" spans="2:2">
      <c r="B1669" s="3"/>
    </row>
    <row r="1670" spans="2:2">
      <c r="B1670" s="3"/>
    </row>
    <row r="1671" spans="2:2">
      <c r="B1671" s="3"/>
    </row>
    <row r="1672" spans="2:2">
      <c r="B1672" s="3"/>
    </row>
    <row r="1673" spans="2:2">
      <c r="B1673" s="3"/>
    </row>
    <row r="1674" spans="2:2">
      <c r="B1674" s="3"/>
    </row>
    <row r="1675" spans="2:2">
      <c r="B1675" s="3"/>
    </row>
    <row r="1676" spans="2:2">
      <c r="B1676" s="3"/>
    </row>
    <row r="1677" spans="2:2">
      <c r="B1677" s="3"/>
    </row>
    <row r="1678" spans="2:2">
      <c r="B1678" s="3"/>
    </row>
    <row r="1679" spans="2:2">
      <c r="B1679" s="3"/>
    </row>
    <row r="1680" spans="2:2">
      <c r="B1680" s="3"/>
    </row>
    <row r="1681" spans="2:2">
      <c r="B1681" s="3"/>
    </row>
    <row r="1682" spans="2:2">
      <c r="B1682" s="3"/>
    </row>
    <row r="1683" spans="2:2">
      <c r="B1683" s="3"/>
    </row>
    <row r="1684" spans="2:2">
      <c r="B1684" s="3"/>
    </row>
    <row r="1685" spans="2:2">
      <c r="B1685" s="3"/>
    </row>
    <row r="1686" spans="2:2">
      <c r="B1686" s="3"/>
    </row>
    <row r="1687" spans="2:2">
      <c r="B1687" s="3"/>
    </row>
    <row r="1688" spans="2:2">
      <c r="B1688" s="3"/>
    </row>
    <row r="1689" spans="2:2">
      <c r="B1689" s="3"/>
    </row>
    <row r="1690" spans="2:2">
      <c r="B1690" s="3"/>
    </row>
    <row r="1691" spans="2:2">
      <c r="B1691" s="3"/>
    </row>
    <row r="1692" spans="2:2">
      <c r="B1692" s="3"/>
    </row>
    <row r="1693" spans="2:2">
      <c r="B1693" s="3"/>
    </row>
    <row r="1694" spans="2:2">
      <c r="B1694" s="3"/>
    </row>
    <row r="1695" spans="2:2">
      <c r="B1695" s="3"/>
    </row>
    <row r="1696" spans="2:2">
      <c r="B1696" s="3"/>
    </row>
    <row r="1697" spans="2:2">
      <c r="B1697" s="3"/>
    </row>
    <row r="1698" spans="2:2">
      <c r="B1698" s="3"/>
    </row>
    <row r="1699" spans="2:2">
      <c r="B1699" s="3"/>
    </row>
    <row r="1700" spans="2:2">
      <c r="B1700" s="3"/>
    </row>
    <row r="1701" spans="2:2">
      <c r="B1701" s="3"/>
    </row>
    <row r="1702" spans="2:2">
      <c r="B1702" s="3"/>
    </row>
    <row r="1703" spans="2:2">
      <c r="B1703" s="3"/>
    </row>
    <row r="1704" spans="2:2">
      <c r="B1704" s="3"/>
    </row>
    <row r="1705" spans="2:2">
      <c r="B1705" s="3"/>
    </row>
    <row r="1706" spans="2:2">
      <c r="B1706" s="3"/>
    </row>
    <row r="1707" spans="2:2">
      <c r="B1707" s="3"/>
    </row>
    <row r="1708" spans="2:2">
      <c r="B1708" s="3"/>
    </row>
    <row r="1709" spans="2:2">
      <c r="B1709" s="3"/>
    </row>
    <row r="1710" spans="2:2">
      <c r="B1710" s="3"/>
    </row>
    <row r="1711" spans="2:2">
      <c r="B1711" s="3"/>
    </row>
    <row r="1712" spans="2:2">
      <c r="B1712" s="3"/>
    </row>
    <row r="1713" spans="2:2">
      <c r="B1713" s="3"/>
    </row>
    <row r="1714" spans="2:2">
      <c r="B1714" s="3"/>
    </row>
    <row r="1715" spans="2:2">
      <c r="B1715" s="3"/>
    </row>
    <row r="1716" spans="2:2">
      <c r="B1716" s="3"/>
    </row>
    <row r="1717" spans="2:2">
      <c r="B1717" s="3"/>
    </row>
    <row r="1718" spans="2:2">
      <c r="B1718" s="3"/>
    </row>
    <row r="1719" spans="2:2">
      <c r="B1719" s="3"/>
    </row>
    <row r="1720" spans="2:2">
      <c r="B1720" s="3"/>
    </row>
    <row r="1721" spans="2:2">
      <c r="B1721" s="3"/>
    </row>
    <row r="1722" spans="2:2">
      <c r="B1722" s="3"/>
    </row>
    <row r="1723" spans="2:2">
      <c r="B1723" s="3"/>
    </row>
    <row r="1724" spans="2:2">
      <c r="B1724" s="3"/>
    </row>
    <row r="1725" spans="2:2">
      <c r="B1725" s="3"/>
    </row>
    <row r="1726" spans="2:2">
      <c r="B1726" s="3"/>
    </row>
    <row r="1727" spans="2:2">
      <c r="B1727" s="3"/>
    </row>
    <row r="1728" spans="2:2">
      <c r="B1728" s="3"/>
    </row>
    <row r="1729" spans="2:2">
      <c r="B1729" s="3"/>
    </row>
    <row r="1730" spans="2:2">
      <c r="B1730" s="3"/>
    </row>
    <row r="1731" spans="2:2">
      <c r="B1731" s="3"/>
    </row>
    <row r="1732" spans="2:2">
      <c r="B1732" s="3"/>
    </row>
    <row r="1733" spans="2:2">
      <c r="B1733" s="3"/>
    </row>
    <row r="1734" spans="2:2">
      <c r="B1734" s="3"/>
    </row>
    <row r="1735" spans="2:2">
      <c r="B1735" s="3"/>
    </row>
    <row r="1736" spans="2:2">
      <c r="B1736" s="3"/>
    </row>
    <row r="1737" spans="2:2">
      <c r="B1737" s="3"/>
    </row>
    <row r="1738" spans="2:2">
      <c r="B1738" s="3"/>
    </row>
    <row r="1739" spans="2:2">
      <c r="B1739" s="3"/>
    </row>
    <row r="1740" spans="2:2">
      <c r="B1740" s="3"/>
    </row>
    <row r="1741" spans="2:2">
      <c r="B1741" s="3"/>
    </row>
    <row r="1742" spans="2:2">
      <c r="B1742" s="3"/>
    </row>
    <row r="1743" spans="2:2">
      <c r="B1743" s="3"/>
    </row>
    <row r="1744" spans="2:2">
      <c r="B1744" s="3"/>
    </row>
    <row r="1745" spans="2:2">
      <c r="B1745" s="3"/>
    </row>
    <row r="1746" spans="2:2">
      <c r="B1746" s="3"/>
    </row>
    <row r="1747" spans="2:2">
      <c r="B1747" s="3"/>
    </row>
    <row r="1748" spans="2:2">
      <c r="B1748" s="3"/>
    </row>
    <row r="1749" spans="2:2">
      <c r="B1749" s="3"/>
    </row>
    <row r="1750" spans="2:2">
      <c r="B1750" s="3"/>
    </row>
    <row r="1751" spans="2:2">
      <c r="B1751" s="3"/>
    </row>
    <row r="1752" spans="2:2">
      <c r="B1752" s="3"/>
    </row>
    <row r="1753" spans="2:2">
      <c r="B1753" s="3"/>
    </row>
    <row r="1754" spans="2:2">
      <c r="B1754" s="3"/>
    </row>
    <row r="1755" spans="2:2">
      <c r="B1755" s="3"/>
    </row>
    <row r="1756" spans="2:2">
      <c r="B1756" s="3"/>
    </row>
    <row r="1757" spans="2:2">
      <c r="B1757" s="3"/>
    </row>
    <row r="1758" spans="2:2">
      <c r="B1758" s="3"/>
    </row>
    <row r="1759" spans="2:2">
      <c r="B1759" s="3"/>
    </row>
    <row r="1760" spans="2:2">
      <c r="B1760" s="3"/>
    </row>
    <row r="1761" spans="2:2">
      <c r="B1761" s="3"/>
    </row>
    <row r="1762" spans="2:2">
      <c r="B1762" s="3"/>
    </row>
    <row r="1763" spans="2:2">
      <c r="B1763" s="3"/>
    </row>
    <row r="1764" spans="2:2">
      <c r="B1764" s="3"/>
    </row>
    <row r="1765" spans="2:2">
      <c r="B1765" s="3"/>
    </row>
    <row r="1766" spans="2:2">
      <c r="B1766" s="3"/>
    </row>
    <row r="1767" spans="2:2">
      <c r="B1767" s="3"/>
    </row>
    <row r="1768" spans="2:2">
      <c r="B1768" s="3"/>
    </row>
    <row r="1769" spans="2:2">
      <c r="B1769" s="3"/>
    </row>
    <row r="1770" spans="2:2">
      <c r="B1770" s="3"/>
    </row>
    <row r="1771" spans="2:2">
      <c r="B1771" s="3"/>
    </row>
    <row r="1772" spans="2:2">
      <c r="B1772" s="3"/>
    </row>
    <row r="1773" spans="2:2">
      <c r="B1773" s="3"/>
    </row>
    <row r="1774" spans="2:2">
      <c r="B1774" s="3"/>
    </row>
    <row r="1775" spans="2:2">
      <c r="B1775" s="3"/>
    </row>
    <row r="1776" spans="2:2">
      <c r="B1776" s="3"/>
    </row>
    <row r="1777" spans="2:2">
      <c r="B1777" s="3"/>
    </row>
    <row r="1778" spans="2:2">
      <c r="B1778" s="3"/>
    </row>
    <row r="1779" spans="2:2">
      <c r="B1779" s="3"/>
    </row>
    <row r="1780" spans="2:2">
      <c r="B1780" s="3"/>
    </row>
    <row r="1781" spans="2:2">
      <c r="B1781" s="3"/>
    </row>
    <row r="1782" spans="2:2">
      <c r="B1782" s="3"/>
    </row>
    <row r="1783" spans="2:2">
      <c r="B1783" s="3"/>
    </row>
    <row r="1784" spans="2:2">
      <c r="B1784" s="3"/>
    </row>
    <row r="1785" spans="2:2">
      <c r="B1785" s="3"/>
    </row>
    <row r="1786" spans="2:2">
      <c r="B1786" s="3"/>
    </row>
    <row r="1787" spans="2:2">
      <c r="B1787" s="3"/>
    </row>
    <row r="1788" spans="2:2">
      <c r="B1788" s="3"/>
    </row>
    <row r="1789" spans="2:2">
      <c r="B1789" s="3"/>
    </row>
    <row r="1790" spans="2:2">
      <c r="B1790" s="3"/>
    </row>
    <row r="1791" spans="2:2">
      <c r="B1791" s="3"/>
    </row>
    <row r="1792" spans="2:2">
      <c r="B1792" s="3"/>
    </row>
    <row r="1793" spans="2:2">
      <c r="B1793" s="3"/>
    </row>
    <row r="1794" spans="2:2">
      <c r="B1794" s="3"/>
    </row>
    <row r="1795" spans="2:2">
      <c r="B1795" s="3"/>
    </row>
    <row r="1796" spans="2:2">
      <c r="B1796" s="3"/>
    </row>
    <row r="1797" spans="2:2">
      <c r="B1797" s="3"/>
    </row>
    <row r="1798" spans="2:2">
      <c r="B1798" s="3"/>
    </row>
    <row r="1799" spans="2:2">
      <c r="B1799" s="3"/>
    </row>
    <row r="1800" spans="2:2">
      <c r="B1800" s="3"/>
    </row>
    <row r="1801" spans="2:2">
      <c r="B1801" s="3"/>
    </row>
    <row r="1802" spans="2:2">
      <c r="B1802" s="3"/>
    </row>
    <row r="1803" spans="2:2">
      <c r="B1803" s="3"/>
    </row>
    <row r="1804" spans="2:2">
      <c r="B1804" s="3"/>
    </row>
    <row r="1805" spans="2:2">
      <c r="B1805" s="3"/>
    </row>
    <row r="1806" spans="2:2">
      <c r="B1806" s="3"/>
    </row>
    <row r="1807" spans="2:2">
      <c r="B1807" s="3"/>
    </row>
    <row r="1808" spans="2:2">
      <c r="B1808" s="3"/>
    </row>
    <row r="1809" spans="2:2">
      <c r="B1809" s="3"/>
    </row>
    <row r="1810" spans="2:2">
      <c r="B1810" s="3"/>
    </row>
    <row r="1811" spans="2:2">
      <c r="B1811" s="3"/>
    </row>
    <row r="1812" spans="2:2">
      <c r="B1812" s="3"/>
    </row>
    <row r="1813" spans="2:2">
      <c r="B1813" s="3"/>
    </row>
    <row r="1814" spans="2:2">
      <c r="B1814" s="3"/>
    </row>
    <row r="1815" spans="2:2">
      <c r="B1815" s="3"/>
    </row>
    <row r="1816" spans="2:2">
      <c r="B1816" s="3"/>
    </row>
    <row r="1817" spans="2:2">
      <c r="B1817" s="3"/>
    </row>
    <row r="1818" spans="2:2">
      <c r="B1818" s="3"/>
    </row>
    <row r="1819" spans="2:2">
      <c r="B1819" s="3"/>
    </row>
    <row r="1820" spans="2:2">
      <c r="B1820" s="3"/>
    </row>
    <row r="1821" spans="2:2">
      <c r="B1821" s="3"/>
    </row>
    <row r="1822" spans="2:2">
      <c r="B1822" s="3"/>
    </row>
    <row r="1823" spans="2:2">
      <c r="B1823" s="3"/>
    </row>
    <row r="1824" spans="2:2">
      <c r="B1824" s="3"/>
    </row>
    <row r="1825" spans="2:2">
      <c r="B1825" s="3"/>
    </row>
    <row r="1826" spans="2:2">
      <c r="B1826" s="3"/>
    </row>
    <row r="1827" spans="2:2">
      <c r="B1827" s="3"/>
    </row>
    <row r="1828" spans="2:2">
      <c r="B1828" s="3"/>
    </row>
    <row r="1829" spans="2:2">
      <c r="B1829" s="3"/>
    </row>
    <row r="1830" spans="2:2">
      <c r="B1830" s="3"/>
    </row>
    <row r="1831" spans="2:2">
      <c r="B1831" s="3"/>
    </row>
    <row r="1832" spans="2:2">
      <c r="B1832" s="3"/>
    </row>
    <row r="1833" spans="2:2">
      <c r="B1833" s="3"/>
    </row>
    <row r="1834" spans="2:2">
      <c r="B1834" s="3"/>
    </row>
    <row r="1835" spans="2:2">
      <c r="B1835" s="3"/>
    </row>
    <row r="1836" spans="2:2">
      <c r="B1836" s="3"/>
    </row>
    <row r="1837" spans="2:2">
      <c r="B1837" s="3"/>
    </row>
    <row r="1838" spans="2:2">
      <c r="B1838" s="3"/>
    </row>
    <row r="1839" spans="2:2">
      <c r="B1839" s="3"/>
    </row>
    <row r="1840" spans="2:2">
      <c r="B1840" s="3"/>
    </row>
    <row r="1841" spans="2:2">
      <c r="B1841" s="3"/>
    </row>
    <row r="1842" spans="2:2">
      <c r="B1842" s="3"/>
    </row>
    <row r="1843" spans="2:2">
      <c r="B1843" s="3"/>
    </row>
    <row r="1844" spans="2:2">
      <c r="B1844" s="3"/>
    </row>
    <row r="1845" spans="2:2">
      <c r="B1845" s="3"/>
    </row>
    <row r="1846" spans="2:2">
      <c r="B1846" s="3"/>
    </row>
    <row r="1847" spans="2:2">
      <c r="B1847" s="3"/>
    </row>
    <row r="1848" spans="2:2">
      <c r="B1848" s="3"/>
    </row>
    <row r="1849" spans="2:2">
      <c r="B1849" s="3"/>
    </row>
    <row r="1850" spans="2:2">
      <c r="B1850" s="3"/>
    </row>
    <row r="1851" spans="2:2">
      <c r="B1851" s="3"/>
    </row>
    <row r="1852" spans="2:2">
      <c r="B1852" s="3"/>
    </row>
    <row r="1853" spans="2:2">
      <c r="B1853" s="3"/>
    </row>
    <row r="1854" spans="2:2">
      <c r="B1854" s="3"/>
    </row>
    <row r="1855" spans="2:2">
      <c r="B1855" s="3"/>
    </row>
    <row r="1856" spans="2:2">
      <c r="B1856" s="3"/>
    </row>
    <row r="1857" spans="2:2">
      <c r="B1857" s="3"/>
    </row>
    <row r="1858" spans="2:2">
      <c r="B1858" s="3"/>
    </row>
    <row r="1859" spans="2:2">
      <c r="B1859" s="3"/>
    </row>
    <row r="1860" spans="2:2">
      <c r="B1860" s="3"/>
    </row>
    <row r="1861" spans="2:2">
      <c r="B1861" s="3"/>
    </row>
    <row r="1862" spans="2:2">
      <c r="B1862" s="3"/>
    </row>
    <row r="1863" spans="2:2">
      <c r="B1863" s="3"/>
    </row>
    <row r="1864" spans="2:2">
      <c r="B1864" s="3"/>
    </row>
    <row r="1865" spans="2:2">
      <c r="B1865" s="3"/>
    </row>
    <row r="1866" spans="2:2">
      <c r="B1866" s="3"/>
    </row>
    <row r="1867" spans="2:2">
      <c r="B1867" s="3"/>
    </row>
    <row r="1868" spans="2:2">
      <c r="B1868" s="3"/>
    </row>
    <row r="1869" spans="2:2">
      <c r="B1869" s="3"/>
    </row>
    <row r="1870" spans="2:2">
      <c r="B1870" s="3"/>
    </row>
    <row r="1871" spans="2:2">
      <c r="B1871" s="3"/>
    </row>
    <row r="1872" spans="2:2">
      <c r="B1872" s="3"/>
    </row>
    <row r="1873" spans="2:2">
      <c r="B1873" s="3"/>
    </row>
    <row r="1874" spans="2:2">
      <c r="B1874" s="3"/>
    </row>
    <row r="1875" spans="2:2">
      <c r="B1875" s="3"/>
    </row>
    <row r="1876" spans="2:2">
      <c r="B1876" s="3"/>
    </row>
    <row r="1877" spans="2:2">
      <c r="B1877" s="3"/>
    </row>
    <row r="1878" spans="2:2">
      <c r="B1878" s="3"/>
    </row>
    <row r="1879" spans="2:2">
      <c r="B1879" s="3"/>
    </row>
    <row r="1880" spans="2:2">
      <c r="B1880" s="3"/>
    </row>
    <row r="1881" spans="2:2">
      <c r="B1881" s="3"/>
    </row>
    <row r="1882" spans="2:2">
      <c r="B1882" s="3"/>
    </row>
    <row r="1883" spans="2:2">
      <c r="B1883" s="3"/>
    </row>
    <row r="1884" spans="2:2">
      <c r="B1884" s="3"/>
    </row>
    <row r="1885" spans="2:2">
      <c r="B1885" s="3"/>
    </row>
    <row r="1886" spans="2:2">
      <c r="B1886" s="3"/>
    </row>
    <row r="1887" spans="2:2">
      <c r="B1887" s="3"/>
    </row>
    <row r="1888" spans="2:2">
      <c r="B1888" s="3"/>
    </row>
    <row r="1889" spans="2:2">
      <c r="B1889" s="3"/>
    </row>
    <row r="1890" spans="2:2">
      <c r="B1890" s="3"/>
    </row>
    <row r="1891" spans="2:2">
      <c r="B1891" s="3"/>
    </row>
    <row r="1892" spans="2:2">
      <c r="B1892" s="3"/>
    </row>
    <row r="1893" spans="2:2">
      <c r="B1893" s="3"/>
    </row>
    <row r="1894" spans="2:2">
      <c r="B1894" s="3"/>
    </row>
    <row r="1895" spans="2:2">
      <c r="B1895" s="3"/>
    </row>
    <row r="1896" spans="2:2">
      <c r="B1896" s="3"/>
    </row>
    <row r="1897" spans="2:2">
      <c r="B1897" s="3"/>
    </row>
    <row r="1898" spans="2:2">
      <c r="B1898" s="3"/>
    </row>
    <row r="1899" spans="2:2">
      <c r="B1899" s="3"/>
    </row>
    <row r="1900" spans="2:2">
      <c r="B1900" s="3"/>
    </row>
    <row r="1901" spans="2:2">
      <c r="B1901" s="3"/>
    </row>
    <row r="1902" spans="2:2">
      <c r="B1902" s="3"/>
    </row>
    <row r="1903" spans="2:2">
      <c r="B1903" s="3"/>
    </row>
    <row r="1904" spans="2:2">
      <c r="B1904" s="3"/>
    </row>
    <row r="1905" spans="2:2">
      <c r="B1905" s="3"/>
    </row>
    <row r="1906" spans="2:2">
      <c r="B1906" s="3"/>
    </row>
    <row r="1907" spans="2:2">
      <c r="B1907" s="3"/>
    </row>
    <row r="1908" spans="2:2">
      <c r="B1908" s="3"/>
    </row>
    <row r="1909" spans="2:2">
      <c r="B1909" s="3"/>
    </row>
    <row r="1910" spans="2:2">
      <c r="B1910" s="3"/>
    </row>
    <row r="1911" spans="2:2">
      <c r="B1911" s="3"/>
    </row>
    <row r="1912" spans="2:2">
      <c r="B1912" s="3"/>
    </row>
    <row r="1913" spans="2:2">
      <c r="B1913" s="3"/>
    </row>
    <row r="1914" spans="2:2">
      <c r="B1914" s="3"/>
    </row>
    <row r="1915" spans="2:2">
      <c r="B1915" s="3"/>
    </row>
    <row r="1916" spans="2:2">
      <c r="B1916" s="3"/>
    </row>
    <row r="1917" spans="2:2">
      <c r="B1917" s="3"/>
    </row>
    <row r="1918" spans="2:2">
      <c r="B1918" s="3"/>
    </row>
    <row r="1919" spans="2:2">
      <c r="B1919" s="3"/>
    </row>
    <row r="1920" spans="2:2">
      <c r="B1920" s="3"/>
    </row>
    <row r="1921" spans="2:2">
      <c r="B1921" s="3"/>
    </row>
    <row r="1922" spans="2:2">
      <c r="B1922" s="3"/>
    </row>
    <row r="1923" spans="2:2">
      <c r="B1923" s="3"/>
    </row>
    <row r="1924" spans="2:2">
      <c r="B1924" s="3"/>
    </row>
    <row r="1925" spans="2:2">
      <c r="B1925" s="3"/>
    </row>
    <row r="1926" spans="2:2">
      <c r="B1926" s="3"/>
    </row>
    <row r="1927" spans="2:2">
      <c r="B1927" s="3"/>
    </row>
    <row r="1928" spans="2:2">
      <c r="B1928" s="3"/>
    </row>
    <row r="1929" spans="2:2">
      <c r="B1929" s="3"/>
    </row>
    <row r="1930" spans="2:2">
      <c r="B1930" s="3"/>
    </row>
    <row r="1931" spans="2:2">
      <c r="B1931" s="3"/>
    </row>
    <row r="1932" spans="2:2">
      <c r="B1932" s="3"/>
    </row>
    <row r="1933" spans="2:2">
      <c r="B1933" s="3"/>
    </row>
    <row r="1934" spans="2:2">
      <c r="B1934" s="3"/>
    </row>
    <row r="1935" spans="2:2">
      <c r="B1935" s="3"/>
    </row>
    <row r="1936" spans="2:2">
      <c r="B1936" s="3"/>
    </row>
    <row r="1937" spans="2:2">
      <c r="B1937" s="3"/>
    </row>
    <row r="1938" spans="2:2">
      <c r="B1938" s="3"/>
    </row>
    <row r="1939" spans="2:2">
      <c r="B1939" s="3"/>
    </row>
    <row r="1940" spans="2:2">
      <c r="B1940" s="3"/>
    </row>
    <row r="1941" spans="2:2">
      <c r="B1941" s="3"/>
    </row>
    <row r="1942" spans="2:2">
      <c r="B1942" s="3"/>
    </row>
    <row r="1943" spans="2:2">
      <c r="B1943" s="3"/>
    </row>
    <row r="1944" spans="2:2">
      <c r="B1944" s="3"/>
    </row>
    <row r="1945" spans="2:2">
      <c r="B1945" s="3"/>
    </row>
    <row r="1946" spans="2:2">
      <c r="B1946" s="3"/>
    </row>
    <row r="1947" spans="2:2">
      <c r="B1947" s="3"/>
    </row>
    <row r="1948" spans="2:2">
      <c r="B1948" s="3"/>
    </row>
    <row r="1949" spans="2:2">
      <c r="B1949" s="3"/>
    </row>
    <row r="1950" spans="2:2">
      <c r="B1950" s="3"/>
    </row>
    <row r="1951" spans="2:2">
      <c r="B1951" s="3"/>
    </row>
    <row r="1952" spans="2:2">
      <c r="B1952" s="3"/>
    </row>
    <row r="1953" spans="2:2">
      <c r="B1953" s="3"/>
    </row>
    <row r="1954" spans="2:2">
      <c r="B1954" s="3"/>
    </row>
    <row r="1955" spans="2:2">
      <c r="B1955" s="3"/>
    </row>
    <row r="1956" spans="2:2">
      <c r="B1956" s="3"/>
    </row>
    <row r="1957" spans="2:2">
      <c r="B1957" s="3"/>
    </row>
    <row r="1958" spans="2:2">
      <c r="B1958" s="3"/>
    </row>
    <row r="1959" spans="2:2">
      <c r="B1959" s="3"/>
    </row>
    <row r="1960" spans="2:2">
      <c r="B1960" s="3"/>
    </row>
    <row r="1961" spans="2:2">
      <c r="B1961" s="3"/>
    </row>
    <row r="1962" spans="2:2">
      <c r="B1962" s="3"/>
    </row>
    <row r="1963" spans="2:2">
      <c r="B1963" s="3"/>
    </row>
    <row r="1964" spans="2:2">
      <c r="B1964" s="3"/>
    </row>
    <row r="1965" spans="2:2">
      <c r="B1965" s="3"/>
    </row>
    <row r="1966" spans="2:2">
      <c r="B1966" s="3"/>
    </row>
    <row r="1967" spans="2:2">
      <c r="B1967" s="3"/>
    </row>
    <row r="1968" spans="2:2">
      <c r="B1968" s="3"/>
    </row>
    <row r="1969" spans="2:2">
      <c r="B1969" s="3"/>
    </row>
    <row r="1970" spans="2:2">
      <c r="B1970" s="3"/>
    </row>
    <row r="1971" spans="2:2">
      <c r="B1971" s="3"/>
    </row>
    <row r="1972" spans="2:2">
      <c r="B1972" s="3"/>
    </row>
    <row r="1973" spans="2:2">
      <c r="B1973" s="3"/>
    </row>
    <row r="1974" spans="2:2">
      <c r="B1974" s="3"/>
    </row>
    <row r="1975" spans="2:2">
      <c r="B1975" s="3"/>
    </row>
    <row r="1976" spans="2:2">
      <c r="B1976" s="3"/>
    </row>
    <row r="1977" spans="2:2">
      <c r="B1977" s="3"/>
    </row>
    <row r="1978" spans="2:2">
      <c r="B1978" s="3"/>
    </row>
    <row r="1979" spans="2:2">
      <c r="B1979" s="3"/>
    </row>
    <row r="1980" spans="2:2">
      <c r="B1980" s="3"/>
    </row>
    <row r="1981" spans="2:2">
      <c r="B1981" s="3"/>
    </row>
    <row r="1982" spans="2:2">
      <c r="B1982" s="3"/>
    </row>
    <row r="1983" spans="2:2">
      <c r="B1983" s="3"/>
    </row>
    <row r="1984" spans="2:2">
      <c r="B1984" s="3"/>
    </row>
    <row r="1985" spans="2:2">
      <c r="B1985" s="3"/>
    </row>
    <row r="1986" spans="2:2">
      <c r="B1986" s="3"/>
    </row>
    <row r="1987" spans="2:2">
      <c r="B1987" s="3"/>
    </row>
    <row r="1988" spans="2:2">
      <c r="B1988" s="3"/>
    </row>
    <row r="1989" spans="2:2">
      <c r="B1989" s="3"/>
    </row>
    <row r="1990" spans="2:2">
      <c r="B1990" s="3"/>
    </row>
    <row r="1991" spans="2:2">
      <c r="B1991" s="3"/>
    </row>
    <row r="1992" spans="2:2">
      <c r="B1992" s="3"/>
    </row>
    <row r="1993" spans="2:2">
      <c r="B1993" s="3"/>
    </row>
    <row r="1994" spans="2:2">
      <c r="B1994" s="3"/>
    </row>
    <row r="1995" spans="2:2">
      <c r="B1995" s="3"/>
    </row>
    <row r="1996" spans="2:2">
      <c r="B1996" s="3"/>
    </row>
    <row r="1997" spans="2:2">
      <c r="B1997" s="3"/>
    </row>
    <row r="1998" spans="2:2">
      <c r="B1998" s="3"/>
    </row>
    <row r="1999" spans="2:2">
      <c r="B1999" s="3"/>
    </row>
    <row r="2000" spans="2:2">
      <c r="B2000" s="3"/>
    </row>
    <row r="2001" spans="2:2">
      <c r="B2001" s="3"/>
    </row>
    <row r="2002" spans="2:2">
      <c r="B2002" s="3"/>
    </row>
    <row r="2003" spans="2:2">
      <c r="B2003" s="3"/>
    </row>
    <row r="2004" spans="2:2">
      <c r="B2004" s="3"/>
    </row>
    <row r="2005" spans="2:2">
      <c r="B2005" s="3"/>
    </row>
    <row r="2006" spans="2:2">
      <c r="B2006" s="3"/>
    </row>
    <row r="2007" spans="2:2">
      <c r="B2007" s="3"/>
    </row>
    <row r="2008" spans="2:2">
      <c r="B2008" s="3"/>
    </row>
    <row r="2009" spans="2:2">
      <c r="B2009" s="3"/>
    </row>
    <row r="2010" spans="2:2">
      <c r="B2010" s="3"/>
    </row>
    <row r="2011" spans="2:2">
      <c r="B2011" s="3"/>
    </row>
    <row r="2012" spans="2:2">
      <c r="B2012" s="3"/>
    </row>
    <row r="2013" spans="2:2">
      <c r="B2013" s="3"/>
    </row>
    <row r="2014" spans="2:2">
      <c r="B2014" s="3"/>
    </row>
    <row r="2015" spans="2:2">
      <c r="B2015" s="3"/>
    </row>
    <row r="2016" spans="2:2">
      <c r="B2016" s="3"/>
    </row>
    <row r="2017" spans="2:2">
      <c r="B2017" s="3"/>
    </row>
    <row r="2018" spans="2:2">
      <c r="B2018" s="3"/>
    </row>
    <row r="2019" spans="2:2">
      <c r="B2019" s="3"/>
    </row>
    <row r="2020" spans="2:2">
      <c r="B2020" s="3"/>
    </row>
    <row r="2021" spans="2:2">
      <c r="B2021" s="3"/>
    </row>
    <row r="2022" spans="2:2">
      <c r="B2022" s="3"/>
    </row>
    <row r="2023" spans="2:2">
      <c r="B2023" s="3"/>
    </row>
    <row r="2024" spans="2:2">
      <c r="B2024" s="3"/>
    </row>
    <row r="2025" spans="2:2">
      <c r="B2025" s="3"/>
    </row>
    <row r="2026" spans="2:2">
      <c r="B2026" s="3"/>
    </row>
    <row r="2027" spans="2:2">
      <c r="B2027" s="3"/>
    </row>
    <row r="2028" spans="2:2">
      <c r="B2028" s="3"/>
    </row>
    <row r="2029" spans="2:2">
      <c r="B2029" s="3"/>
    </row>
    <row r="2030" spans="2:2">
      <c r="B2030" s="3"/>
    </row>
    <row r="2031" spans="2:2">
      <c r="B2031" s="3"/>
    </row>
    <row r="2032" spans="2:2">
      <c r="B2032" s="3"/>
    </row>
    <row r="2033" spans="2:2">
      <c r="B2033" s="3"/>
    </row>
    <row r="2034" spans="2:2">
      <c r="B2034" s="3"/>
    </row>
    <row r="2035" spans="2:2">
      <c r="B2035" s="3"/>
    </row>
    <row r="2036" spans="2:2">
      <c r="B2036" s="3"/>
    </row>
    <row r="2037" spans="2:2">
      <c r="B2037" s="3"/>
    </row>
    <row r="2038" spans="2:2">
      <c r="B2038" s="3"/>
    </row>
    <row r="2039" spans="2:2">
      <c r="B2039" s="3"/>
    </row>
    <row r="2040" spans="2:2">
      <c r="B2040" s="3"/>
    </row>
    <row r="2041" spans="2:2">
      <c r="B2041" s="3"/>
    </row>
    <row r="2042" spans="2:2">
      <c r="B2042" s="3"/>
    </row>
    <row r="2043" spans="2:2">
      <c r="B2043" s="3"/>
    </row>
    <row r="2044" spans="2:2">
      <c r="B2044" s="3"/>
    </row>
    <row r="2045" spans="2:2">
      <c r="B2045" s="3"/>
    </row>
    <row r="2046" spans="2:2">
      <c r="B2046" s="3"/>
    </row>
    <row r="2047" spans="2:2">
      <c r="B2047" s="3"/>
    </row>
    <row r="2048" spans="2:2">
      <c r="B2048" s="3"/>
    </row>
    <row r="2049" spans="2:2">
      <c r="B2049" s="3"/>
    </row>
    <row r="2050" spans="2:2">
      <c r="B2050" s="3"/>
    </row>
    <row r="2051" spans="2:2">
      <c r="B2051" s="3"/>
    </row>
    <row r="2052" spans="2:2">
      <c r="B2052" s="3"/>
    </row>
    <row r="2053" spans="2:2">
      <c r="B2053" s="3"/>
    </row>
    <row r="2054" spans="2:2">
      <c r="B2054" s="3"/>
    </row>
    <row r="2055" spans="2:2">
      <c r="B2055" s="3"/>
    </row>
    <row r="2056" spans="2:2">
      <c r="B2056" s="3"/>
    </row>
    <row r="2057" spans="2:2">
      <c r="B2057" s="3"/>
    </row>
    <row r="2058" spans="2:2">
      <c r="B2058" s="3"/>
    </row>
    <row r="2059" spans="2:2">
      <c r="B2059" s="3"/>
    </row>
    <row r="2060" spans="2:2">
      <c r="B2060" s="3"/>
    </row>
    <row r="2061" spans="2:2">
      <c r="B2061" s="3"/>
    </row>
    <row r="2062" spans="2:2">
      <c r="B2062" s="3"/>
    </row>
    <row r="2063" spans="2:2">
      <c r="B2063" s="3"/>
    </row>
    <row r="2064" spans="2:2">
      <c r="B2064" s="3"/>
    </row>
    <row r="2065" spans="2:2">
      <c r="B2065" s="3"/>
    </row>
    <row r="2066" spans="2:2">
      <c r="B2066" s="3"/>
    </row>
    <row r="2067" spans="2:2">
      <c r="B2067" s="3"/>
    </row>
    <row r="2068" spans="2:2">
      <c r="B2068" s="3"/>
    </row>
    <row r="2069" spans="2:2">
      <c r="B2069" s="3"/>
    </row>
    <row r="2070" spans="2:2">
      <c r="B2070" s="3"/>
    </row>
    <row r="2071" spans="2:2">
      <c r="B2071" s="3"/>
    </row>
    <row r="2072" spans="2:2">
      <c r="B2072" s="3"/>
    </row>
    <row r="2073" spans="2:2">
      <c r="B2073" s="3"/>
    </row>
    <row r="2074" spans="2:2">
      <c r="B2074" s="3"/>
    </row>
    <row r="2075" spans="2:2">
      <c r="B2075" s="3"/>
    </row>
    <row r="2076" spans="2:2">
      <c r="B2076" s="3"/>
    </row>
    <row r="2077" spans="2:2">
      <c r="B2077" s="3"/>
    </row>
    <row r="2078" spans="2:2">
      <c r="B2078" s="3"/>
    </row>
    <row r="2079" spans="2:2">
      <c r="B2079" s="3"/>
    </row>
    <row r="2080" spans="2:2">
      <c r="B2080" s="3"/>
    </row>
    <row r="2081" spans="2:2">
      <c r="B2081" s="3"/>
    </row>
    <row r="2082" spans="2:2">
      <c r="B2082" s="3"/>
    </row>
    <row r="2083" spans="2:2">
      <c r="B2083" s="3"/>
    </row>
    <row r="2084" spans="2:2">
      <c r="B2084" s="3"/>
    </row>
    <row r="2085" spans="2:2">
      <c r="B2085" s="3"/>
    </row>
    <row r="2086" spans="2:2">
      <c r="B2086" s="3"/>
    </row>
    <row r="2087" spans="2:2">
      <c r="B2087" s="3"/>
    </row>
    <row r="2088" spans="2:2">
      <c r="B2088" s="3"/>
    </row>
    <row r="2089" spans="2:2">
      <c r="B2089" s="3"/>
    </row>
    <row r="2090" spans="2:2">
      <c r="B2090" s="3"/>
    </row>
    <row r="2091" spans="2:2">
      <c r="B2091" s="3"/>
    </row>
    <row r="2092" spans="2:2">
      <c r="B2092" s="3"/>
    </row>
    <row r="2093" spans="2:2">
      <c r="B2093" s="3"/>
    </row>
    <row r="2094" spans="2:2">
      <c r="B2094" s="3"/>
    </row>
    <row r="2095" spans="2:2">
      <c r="B2095" s="3"/>
    </row>
    <row r="2096" spans="2:2">
      <c r="B2096" s="3"/>
    </row>
    <row r="2097" spans="2:2">
      <c r="B2097" s="3"/>
    </row>
    <row r="2098" spans="2:2">
      <c r="B2098" s="3"/>
    </row>
    <row r="2099" spans="2:2">
      <c r="B2099" s="3"/>
    </row>
    <row r="2100" spans="2:2">
      <c r="B2100" s="3"/>
    </row>
    <row r="2101" spans="2:2">
      <c r="B2101" s="3"/>
    </row>
    <row r="2102" spans="2:2">
      <c r="B2102" s="3"/>
    </row>
    <row r="2103" spans="2:2">
      <c r="B2103" s="3"/>
    </row>
    <row r="2104" spans="2:2">
      <c r="B2104" s="3"/>
    </row>
    <row r="2105" spans="2:2">
      <c r="B2105" s="3"/>
    </row>
    <row r="2106" spans="2:2">
      <c r="B2106" s="3"/>
    </row>
    <row r="2107" spans="2:2">
      <c r="B2107" s="3"/>
    </row>
    <row r="2108" spans="2:2">
      <c r="B2108" s="3"/>
    </row>
    <row r="2109" spans="2:2">
      <c r="B2109" s="3"/>
    </row>
    <row r="2110" spans="2:2">
      <c r="B2110" s="3"/>
    </row>
    <row r="2111" spans="2:2">
      <c r="B2111" s="3"/>
    </row>
    <row r="2112" spans="2:2">
      <c r="B2112" s="3"/>
    </row>
    <row r="2113" spans="2:2">
      <c r="B2113" s="3"/>
    </row>
    <row r="2114" spans="2:2">
      <c r="B2114" s="3"/>
    </row>
    <row r="2115" spans="2:2">
      <c r="B2115" s="3"/>
    </row>
    <row r="2116" spans="2:2">
      <c r="B2116" s="3"/>
    </row>
    <row r="2117" spans="2:2">
      <c r="B2117" s="3"/>
    </row>
    <row r="2118" spans="2:2">
      <c r="B2118" s="3"/>
    </row>
    <row r="2119" spans="2:2">
      <c r="B2119" s="3"/>
    </row>
    <row r="2120" spans="2:2">
      <c r="B2120" s="3"/>
    </row>
    <row r="2121" spans="2:2">
      <c r="B2121" s="3"/>
    </row>
    <row r="2122" spans="2:2">
      <c r="B2122" s="3"/>
    </row>
    <row r="2123" spans="2:2">
      <c r="B2123" s="3"/>
    </row>
    <row r="2124" spans="2:2">
      <c r="B2124" s="3"/>
    </row>
    <row r="2125" spans="2:2">
      <c r="B2125" s="3"/>
    </row>
    <row r="2126" spans="2:2">
      <c r="B2126" s="3"/>
    </row>
    <row r="2127" spans="2:2">
      <c r="B2127" s="3"/>
    </row>
    <row r="2128" spans="2:2">
      <c r="B2128" s="3"/>
    </row>
    <row r="2129" spans="2:2">
      <c r="B2129" s="3"/>
    </row>
    <row r="2130" spans="2:2">
      <c r="B2130" s="3"/>
    </row>
    <row r="2131" spans="2:2">
      <c r="B2131" s="3"/>
    </row>
    <row r="2132" spans="2:2">
      <c r="B2132" s="3"/>
    </row>
    <row r="2133" spans="2:2">
      <c r="B2133" s="3"/>
    </row>
    <row r="2134" spans="2:2">
      <c r="B2134" s="3"/>
    </row>
    <row r="2135" spans="2:2">
      <c r="B2135" s="3"/>
    </row>
    <row r="2136" spans="2:2">
      <c r="B2136" s="3"/>
    </row>
    <row r="2137" spans="2:2">
      <c r="B2137" s="3"/>
    </row>
    <row r="2138" spans="2:2">
      <c r="B2138" s="3"/>
    </row>
    <row r="2139" spans="2:2">
      <c r="B2139" s="3"/>
    </row>
    <row r="2140" spans="2:2">
      <c r="B2140" s="3"/>
    </row>
    <row r="2141" spans="2:2">
      <c r="B2141" s="3"/>
    </row>
    <row r="2142" spans="2:2">
      <c r="B2142" s="3"/>
    </row>
    <row r="2143" spans="2:2">
      <c r="B2143" s="3"/>
    </row>
    <row r="2144" spans="2:2">
      <c r="B2144" s="3"/>
    </row>
    <row r="2145" spans="2:2">
      <c r="B2145" s="3"/>
    </row>
    <row r="2146" spans="2:2">
      <c r="B2146" s="3"/>
    </row>
    <row r="2147" spans="2:2">
      <c r="B2147" s="3"/>
    </row>
    <row r="2148" spans="2:2">
      <c r="B2148" s="3"/>
    </row>
    <row r="2149" spans="2:2">
      <c r="B2149" s="3"/>
    </row>
    <row r="2150" spans="2:2">
      <c r="B2150" s="3"/>
    </row>
    <row r="2151" spans="2:2">
      <c r="B2151" s="3"/>
    </row>
    <row r="2152" spans="2:2">
      <c r="B2152" s="3"/>
    </row>
    <row r="2153" spans="2:2">
      <c r="B2153" s="3"/>
    </row>
    <row r="2154" spans="2:2">
      <c r="B2154" s="3"/>
    </row>
    <row r="2155" spans="2:2">
      <c r="B2155" s="3"/>
    </row>
    <row r="2156" spans="2:2">
      <c r="B2156" s="3"/>
    </row>
    <row r="2157" spans="2:2">
      <c r="B2157" s="3"/>
    </row>
    <row r="2158" spans="2:2">
      <c r="B2158" s="3"/>
    </row>
    <row r="2159" spans="2:2">
      <c r="B2159" s="3"/>
    </row>
    <row r="2160" spans="2:2">
      <c r="B2160" s="3"/>
    </row>
    <row r="2161" spans="2:2">
      <c r="B2161" s="3"/>
    </row>
    <row r="2162" spans="2:2">
      <c r="B2162" s="3"/>
    </row>
    <row r="2163" spans="2:2">
      <c r="B2163" s="3"/>
    </row>
    <row r="2164" spans="2:2">
      <c r="B2164" s="3"/>
    </row>
    <row r="2165" spans="2:2">
      <c r="B2165" s="3"/>
    </row>
    <row r="2166" spans="2:2">
      <c r="B2166" s="3"/>
    </row>
    <row r="2167" spans="2:2">
      <c r="B2167" s="3"/>
    </row>
    <row r="2168" spans="2:2">
      <c r="B2168" s="3"/>
    </row>
    <row r="2169" spans="2:2">
      <c r="B2169" s="3"/>
    </row>
    <row r="2170" spans="2:2">
      <c r="B2170" s="3"/>
    </row>
    <row r="2171" spans="2:2">
      <c r="B2171" s="3"/>
    </row>
    <row r="2172" spans="2:2">
      <c r="B2172" s="3"/>
    </row>
    <row r="2173" spans="2:2">
      <c r="B2173" s="3"/>
    </row>
    <row r="2174" spans="2:2">
      <c r="B2174" s="3"/>
    </row>
    <row r="2175" spans="2:2">
      <c r="B2175" s="3"/>
    </row>
    <row r="2176" spans="2:2">
      <c r="B2176" s="3"/>
    </row>
    <row r="2177" spans="2:2">
      <c r="B2177" s="3"/>
    </row>
    <row r="2178" spans="2:2">
      <c r="B2178" s="3"/>
    </row>
    <row r="2179" spans="2:2">
      <c r="B2179" s="3"/>
    </row>
    <row r="2180" spans="2:2">
      <c r="B2180" s="3"/>
    </row>
    <row r="2181" spans="2:2">
      <c r="B2181" s="3"/>
    </row>
    <row r="2182" spans="2:2">
      <c r="B2182" s="3"/>
    </row>
    <row r="2183" spans="2:2">
      <c r="B2183" s="3"/>
    </row>
    <row r="2184" spans="2:2">
      <c r="B2184" s="3"/>
    </row>
    <row r="2185" spans="2:2">
      <c r="B2185" s="3"/>
    </row>
    <row r="2186" spans="2:2">
      <c r="B2186" s="3"/>
    </row>
    <row r="2187" spans="2:2">
      <c r="B2187" s="3"/>
    </row>
    <row r="2188" spans="2:2">
      <c r="B2188" s="3"/>
    </row>
    <row r="2189" spans="2:2">
      <c r="B2189" s="3"/>
    </row>
    <row r="2190" spans="2:2">
      <c r="B2190" s="3"/>
    </row>
    <row r="2191" spans="2:2">
      <c r="B2191" s="3"/>
    </row>
    <row r="2192" spans="2:2">
      <c r="B2192" s="3"/>
    </row>
    <row r="2193" spans="2:2">
      <c r="B2193" s="3"/>
    </row>
    <row r="2194" spans="2:2">
      <c r="B2194" s="3"/>
    </row>
    <row r="2195" spans="2:2">
      <c r="B2195" s="3"/>
    </row>
    <row r="2196" spans="2:2">
      <c r="B2196" s="3"/>
    </row>
    <row r="2197" spans="2:2">
      <c r="B2197" s="3"/>
    </row>
    <row r="2198" spans="2:2">
      <c r="B2198" s="3"/>
    </row>
    <row r="2199" spans="2:2">
      <c r="B2199" s="3"/>
    </row>
    <row r="2200" spans="2:2">
      <c r="B2200" s="3"/>
    </row>
    <row r="2201" spans="2:2">
      <c r="B2201" s="3"/>
    </row>
    <row r="2202" spans="2:2">
      <c r="B2202" s="3"/>
    </row>
    <row r="2203" spans="2:2">
      <c r="B2203" s="3"/>
    </row>
    <row r="2204" spans="2:2">
      <c r="B2204" s="3"/>
    </row>
    <row r="2205" spans="2:2">
      <c r="B2205" s="3"/>
    </row>
    <row r="2206" spans="2:2">
      <c r="B2206" s="3"/>
    </row>
    <row r="2207" spans="2:2">
      <c r="B2207" s="3"/>
    </row>
    <row r="2208" spans="2:2">
      <c r="B2208" s="3"/>
    </row>
    <row r="2209" spans="2:2">
      <c r="B2209" s="3"/>
    </row>
    <row r="2210" spans="2:2">
      <c r="B2210" s="3"/>
    </row>
    <row r="2211" spans="2:2">
      <c r="B2211" s="3"/>
    </row>
    <row r="2212" spans="2:2">
      <c r="B2212" s="3"/>
    </row>
    <row r="2213" spans="2:2">
      <c r="B2213" s="3"/>
    </row>
    <row r="2214" spans="2:2">
      <c r="B2214" s="3"/>
    </row>
    <row r="2215" spans="2:2">
      <c r="B2215" s="3"/>
    </row>
    <row r="2216" spans="2:2">
      <c r="B2216" s="3"/>
    </row>
    <row r="2217" spans="2:2">
      <c r="B2217" s="3"/>
    </row>
    <row r="2218" spans="2:2">
      <c r="B2218" s="3"/>
    </row>
    <row r="2219" spans="2:2">
      <c r="B2219" s="3"/>
    </row>
    <row r="2220" spans="2:2">
      <c r="B2220" s="3"/>
    </row>
    <row r="2221" spans="2:2">
      <c r="B2221" s="3"/>
    </row>
    <row r="2222" spans="2:2">
      <c r="B2222" s="3"/>
    </row>
    <row r="2223" spans="2:2">
      <c r="B2223" s="3"/>
    </row>
    <row r="2224" spans="2:2">
      <c r="B2224" s="3"/>
    </row>
    <row r="2225" spans="2:2">
      <c r="B2225" s="3"/>
    </row>
    <row r="2226" spans="2:2">
      <c r="B2226" s="3"/>
    </row>
    <row r="2227" spans="2:2">
      <c r="B2227" s="3"/>
    </row>
    <row r="2228" spans="2:2">
      <c r="B2228" s="3"/>
    </row>
    <row r="2229" spans="2:2">
      <c r="B2229" s="3"/>
    </row>
    <row r="2230" spans="2:2">
      <c r="B2230" s="3"/>
    </row>
    <row r="2231" spans="2:2">
      <c r="B2231" s="3"/>
    </row>
    <row r="2232" spans="2:2">
      <c r="B2232" s="3"/>
    </row>
    <row r="2233" spans="2:2">
      <c r="B2233" s="3"/>
    </row>
    <row r="2234" spans="2:2">
      <c r="B2234" s="3"/>
    </row>
    <row r="2235" spans="2:2">
      <c r="B2235" s="3"/>
    </row>
    <row r="2236" spans="2:2">
      <c r="B2236" s="3"/>
    </row>
    <row r="2237" spans="2:2">
      <c r="B2237" s="3"/>
    </row>
    <row r="2238" spans="2:2">
      <c r="B2238" s="3"/>
    </row>
    <row r="2239" spans="2:2">
      <c r="B2239" s="3"/>
    </row>
    <row r="2240" spans="2:2">
      <c r="B2240" s="3"/>
    </row>
    <row r="2241" spans="2:2">
      <c r="B2241" s="3"/>
    </row>
    <row r="2242" spans="2:2">
      <c r="B2242" s="3"/>
    </row>
    <row r="2243" spans="2:2">
      <c r="B2243" s="3"/>
    </row>
    <row r="2244" spans="2:2">
      <c r="B2244" s="3"/>
    </row>
    <row r="2245" spans="2:2">
      <c r="B2245" s="3"/>
    </row>
    <row r="2246" spans="2:2">
      <c r="B2246" s="3"/>
    </row>
    <row r="2247" spans="2:2">
      <c r="B2247" s="3"/>
    </row>
    <row r="2248" spans="2:2">
      <c r="B2248" s="3"/>
    </row>
    <row r="2249" spans="2:2">
      <c r="B2249" s="3"/>
    </row>
    <row r="2250" spans="2:2">
      <c r="B2250" s="3"/>
    </row>
    <row r="2251" spans="2:2">
      <c r="B2251" s="3"/>
    </row>
    <row r="2252" spans="2:2">
      <c r="B2252" s="3"/>
    </row>
    <row r="2253" spans="2:2">
      <c r="B2253" s="3"/>
    </row>
    <row r="2254" spans="2:2">
      <c r="B2254" s="3"/>
    </row>
    <row r="2255" spans="2:2">
      <c r="B2255" s="3"/>
    </row>
    <row r="2256" spans="2:2">
      <c r="B2256" s="3"/>
    </row>
    <row r="2257" spans="2:2">
      <c r="B2257" s="3"/>
    </row>
    <row r="2258" spans="2:2">
      <c r="B2258" s="3"/>
    </row>
    <row r="2259" spans="2:2">
      <c r="B2259" s="3"/>
    </row>
    <row r="2260" spans="2:2">
      <c r="B2260" s="3"/>
    </row>
    <row r="2261" spans="2:2">
      <c r="B2261" s="3"/>
    </row>
    <row r="2262" spans="2:2">
      <c r="B2262" s="3"/>
    </row>
    <row r="2263" spans="2:2">
      <c r="B2263" s="3"/>
    </row>
    <row r="2264" spans="2:2">
      <c r="B2264" s="3"/>
    </row>
    <row r="2265" spans="2:2">
      <c r="B2265" s="3"/>
    </row>
    <row r="2266" spans="2:2">
      <c r="B2266" s="3"/>
    </row>
    <row r="2267" spans="2:2">
      <c r="B2267" s="3"/>
    </row>
    <row r="2268" spans="2:2">
      <c r="B2268" s="3"/>
    </row>
    <row r="2269" spans="2:2">
      <c r="B2269" s="3"/>
    </row>
    <row r="2270" spans="2:2">
      <c r="B2270" s="3"/>
    </row>
    <row r="2271" spans="2:2">
      <c r="B2271" s="3"/>
    </row>
    <row r="2272" spans="2:2">
      <c r="B2272" s="3"/>
    </row>
    <row r="2273" spans="2:2">
      <c r="B2273" s="3"/>
    </row>
    <row r="2274" spans="2:2">
      <c r="B2274" s="3"/>
    </row>
    <row r="2275" spans="2:2">
      <c r="B2275" s="3"/>
    </row>
    <row r="2276" spans="2:2">
      <c r="B2276" s="3"/>
    </row>
    <row r="2277" spans="2:2">
      <c r="B2277" s="3"/>
    </row>
    <row r="2278" spans="2:2">
      <c r="B2278" s="3"/>
    </row>
    <row r="2279" spans="2:2">
      <c r="B2279" s="3"/>
    </row>
    <row r="2280" spans="2:2">
      <c r="B2280" s="3"/>
    </row>
    <row r="2281" spans="2:2">
      <c r="B2281" s="3"/>
    </row>
    <row r="2282" spans="2:2">
      <c r="B2282" s="3"/>
    </row>
    <row r="2283" spans="2:2">
      <c r="B2283" s="3"/>
    </row>
    <row r="2284" spans="2:2">
      <c r="B2284" s="3"/>
    </row>
    <row r="2285" spans="2:2">
      <c r="B2285" s="3"/>
    </row>
    <row r="2286" spans="2:2">
      <c r="B2286" s="3"/>
    </row>
    <row r="2287" spans="2:2">
      <c r="B2287" s="3"/>
    </row>
    <row r="2288" spans="2:2">
      <c r="B2288" s="3"/>
    </row>
    <row r="2289" spans="2:2">
      <c r="B2289" s="3"/>
    </row>
    <row r="2290" spans="2:2">
      <c r="B2290" s="3"/>
    </row>
    <row r="2291" spans="2:2">
      <c r="B2291" s="3"/>
    </row>
    <row r="2292" spans="2:2">
      <c r="B2292" s="3"/>
    </row>
    <row r="2293" spans="2:2">
      <c r="B2293" s="3"/>
    </row>
    <row r="2294" spans="2:2">
      <c r="B2294" s="3"/>
    </row>
    <row r="2295" spans="2:2">
      <c r="B2295" s="3"/>
    </row>
    <row r="2296" spans="2:2">
      <c r="B2296" s="3"/>
    </row>
    <row r="2297" spans="2:2">
      <c r="B2297" s="3"/>
    </row>
    <row r="2298" spans="2:2">
      <c r="B2298" s="3"/>
    </row>
    <row r="2299" spans="2:2">
      <c r="B2299" s="3"/>
    </row>
    <row r="2300" spans="2:2">
      <c r="B2300" s="3"/>
    </row>
    <row r="2301" spans="2:2">
      <c r="B2301" s="3"/>
    </row>
    <row r="2302" spans="2:2">
      <c r="B2302" s="3"/>
    </row>
    <row r="2303" spans="2:2">
      <c r="B2303" s="3"/>
    </row>
    <row r="2304" spans="2:2">
      <c r="B2304" s="3"/>
    </row>
    <row r="2305" spans="2:2">
      <c r="B2305" s="3"/>
    </row>
    <row r="2306" spans="2:2">
      <c r="B2306" s="3"/>
    </row>
    <row r="2307" spans="2:2">
      <c r="B2307" s="3"/>
    </row>
    <row r="2308" spans="2:2">
      <c r="B2308" s="3"/>
    </row>
    <row r="2309" spans="2:2">
      <c r="B2309" s="3"/>
    </row>
    <row r="2310" spans="2:2">
      <c r="B2310" s="3"/>
    </row>
    <row r="2311" spans="2:2">
      <c r="B2311" s="3"/>
    </row>
    <row r="2312" spans="2:2">
      <c r="B2312" s="3"/>
    </row>
    <row r="2313" spans="2:2">
      <c r="B2313" s="3"/>
    </row>
    <row r="2314" spans="2:2">
      <c r="B2314" s="3"/>
    </row>
    <row r="2315" spans="2:2">
      <c r="B2315" s="3"/>
    </row>
    <row r="2316" spans="2:2">
      <c r="B2316" s="3"/>
    </row>
    <row r="2317" spans="2:2">
      <c r="B2317" s="3"/>
    </row>
    <row r="2318" spans="2:2">
      <c r="B2318" s="3"/>
    </row>
    <row r="2319" spans="2:2">
      <c r="B2319" s="3"/>
    </row>
    <row r="2320" spans="2:2">
      <c r="B2320" s="3"/>
    </row>
    <row r="2321" spans="2:2">
      <c r="B2321" s="3"/>
    </row>
    <row r="2322" spans="2:2">
      <c r="B2322" s="3"/>
    </row>
    <row r="2323" spans="2:2">
      <c r="B2323" s="3"/>
    </row>
    <row r="2324" spans="2:2">
      <c r="B2324" s="3"/>
    </row>
    <row r="2325" spans="2:2">
      <c r="B2325" s="3"/>
    </row>
    <row r="2326" spans="2:2">
      <c r="B2326" s="3"/>
    </row>
    <row r="2327" spans="2:2">
      <c r="B2327" s="3"/>
    </row>
    <row r="2328" spans="2:2">
      <c r="B2328" s="3"/>
    </row>
    <row r="2329" spans="2:2">
      <c r="B2329" s="3"/>
    </row>
    <row r="2330" spans="2:2">
      <c r="B2330" s="3"/>
    </row>
    <row r="2331" spans="2:2">
      <c r="B2331" s="3"/>
    </row>
    <row r="2332" spans="2:2">
      <c r="B2332" s="3"/>
    </row>
    <row r="2333" spans="2:2">
      <c r="B2333" s="3"/>
    </row>
    <row r="2334" spans="2:2">
      <c r="B2334" s="3"/>
    </row>
    <row r="2335" spans="2:2">
      <c r="B2335" s="3"/>
    </row>
    <row r="2336" spans="2:2">
      <c r="B2336" s="3"/>
    </row>
    <row r="2337" spans="2:2">
      <c r="B2337" s="3"/>
    </row>
    <row r="2338" spans="2:2">
      <c r="B2338" s="3"/>
    </row>
    <row r="2339" spans="2:2">
      <c r="B2339" s="3"/>
    </row>
    <row r="2340" spans="2:2">
      <c r="B2340" s="3"/>
    </row>
    <row r="2341" spans="2:2">
      <c r="B2341" s="3"/>
    </row>
    <row r="2342" spans="2:2">
      <c r="B2342" s="3"/>
    </row>
    <row r="2343" spans="2:2">
      <c r="B2343" s="3"/>
    </row>
    <row r="2344" spans="2:2">
      <c r="B2344" s="3"/>
    </row>
    <row r="2345" spans="2:2">
      <c r="B2345" s="3"/>
    </row>
    <row r="2346" spans="2:2">
      <c r="B2346" s="3"/>
    </row>
    <row r="2347" spans="2:2">
      <c r="B2347" s="3"/>
    </row>
    <row r="2348" spans="2:2">
      <c r="B2348" s="3"/>
    </row>
    <row r="2349" spans="2:2">
      <c r="B2349" s="3"/>
    </row>
    <row r="2350" spans="2:2">
      <c r="B2350" s="3"/>
    </row>
    <row r="2351" spans="2:2">
      <c r="B2351" s="3"/>
    </row>
    <row r="2352" spans="2:2">
      <c r="B2352" s="3"/>
    </row>
    <row r="2353" spans="2:2">
      <c r="B2353" s="3"/>
    </row>
    <row r="2354" spans="2:2">
      <c r="B2354" s="3"/>
    </row>
    <row r="2355" spans="2:2">
      <c r="B2355" s="3"/>
    </row>
    <row r="2356" spans="2:2">
      <c r="B2356" s="3"/>
    </row>
    <row r="2357" spans="2:2">
      <c r="B2357" s="3"/>
    </row>
    <row r="2358" spans="2:2">
      <c r="B2358" s="3"/>
    </row>
    <row r="2359" spans="2:2">
      <c r="B2359" s="3"/>
    </row>
    <row r="2360" spans="2:2">
      <c r="B2360" s="3"/>
    </row>
    <row r="2361" spans="2:2">
      <c r="B2361" s="3"/>
    </row>
    <row r="2362" spans="2:2">
      <c r="B2362" s="3"/>
    </row>
    <row r="2363" spans="2:2">
      <c r="B2363" s="3"/>
    </row>
    <row r="2364" spans="2:2">
      <c r="B2364" s="3"/>
    </row>
    <row r="2365" spans="2:2">
      <c r="B2365" s="3"/>
    </row>
    <row r="2366" spans="2:2">
      <c r="B2366" s="3"/>
    </row>
    <row r="2367" spans="2:2">
      <c r="B2367" s="3"/>
    </row>
    <row r="2368" spans="2:2">
      <c r="B2368" s="3"/>
    </row>
    <row r="2369" spans="2:2">
      <c r="B2369" s="3"/>
    </row>
    <row r="2370" spans="2:2">
      <c r="B2370" s="3"/>
    </row>
    <row r="2371" spans="2:2">
      <c r="B2371" s="3"/>
    </row>
    <row r="2372" spans="2:2">
      <c r="B2372" s="3"/>
    </row>
    <row r="2373" spans="2:2">
      <c r="B2373" s="3"/>
    </row>
    <row r="2374" spans="2:2">
      <c r="B2374" s="3"/>
    </row>
    <row r="2375" spans="2:2">
      <c r="B2375" s="3"/>
    </row>
    <row r="2376" spans="2:2">
      <c r="B2376" s="3"/>
    </row>
    <row r="2377" spans="2:2">
      <c r="B2377" s="3"/>
    </row>
    <row r="2378" spans="2:2">
      <c r="B2378" s="3"/>
    </row>
    <row r="2379" spans="2:2">
      <c r="B2379" s="3"/>
    </row>
    <row r="2380" spans="2:2">
      <c r="B2380" s="3"/>
    </row>
    <row r="2381" spans="2:2">
      <c r="B2381" s="3"/>
    </row>
    <row r="2382" spans="2:2">
      <c r="B2382" s="3"/>
    </row>
    <row r="2383" spans="2:2">
      <c r="B2383" s="3"/>
    </row>
    <row r="2384" spans="2:2">
      <c r="B2384" s="3"/>
    </row>
    <row r="2385" spans="2:2">
      <c r="B2385" s="3"/>
    </row>
    <row r="2386" spans="2:2">
      <c r="B2386" s="3"/>
    </row>
    <row r="2387" spans="2:2">
      <c r="B2387" s="3"/>
    </row>
    <row r="2388" spans="2:2">
      <c r="B2388" s="3"/>
    </row>
    <row r="2389" spans="2:2">
      <c r="B2389" s="3"/>
    </row>
    <row r="2390" spans="2:2">
      <c r="B2390" s="3"/>
    </row>
    <row r="2391" spans="2:2">
      <c r="B2391" s="3"/>
    </row>
    <row r="2392" spans="2:2">
      <c r="B2392" s="3"/>
    </row>
    <row r="2393" spans="2:2">
      <c r="B2393" s="3"/>
    </row>
    <row r="2394" spans="2:2">
      <c r="B2394" s="3"/>
    </row>
    <row r="2395" spans="2:2">
      <c r="B2395" s="3"/>
    </row>
    <row r="2396" spans="2:2">
      <c r="B2396" s="3"/>
    </row>
    <row r="2397" spans="2:2">
      <c r="B2397" s="3"/>
    </row>
    <row r="2398" spans="2:2">
      <c r="B2398" s="3"/>
    </row>
    <row r="2399" spans="2:2">
      <c r="B2399" s="3"/>
    </row>
    <row r="2400" spans="2:2">
      <c r="B2400" s="3"/>
    </row>
    <row r="2401" spans="2:2">
      <c r="B2401" s="3"/>
    </row>
    <row r="2402" spans="2:2">
      <c r="B2402" s="3"/>
    </row>
    <row r="2403" spans="2:2">
      <c r="B2403" s="3"/>
    </row>
    <row r="2404" spans="2:2">
      <c r="B2404" s="3"/>
    </row>
    <row r="2405" spans="2:2">
      <c r="B2405" s="3"/>
    </row>
    <row r="2406" spans="2:2">
      <c r="B2406" s="3"/>
    </row>
    <row r="2407" spans="2:2">
      <c r="B2407" s="3"/>
    </row>
    <row r="2408" spans="2:2">
      <c r="B2408" s="3"/>
    </row>
    <row r="2409" spans="2:2">
      <c r="B2409" s="3"/>
    </row>
    <row r="2410" spans="2:2">
      <c r="B2410" s="3"/>
    </row>
    <row r="2411" spans="2:2">
      <c r="B2411" s="3"/>
    </row>
    <row r="2412" spans="2:2">
      <c r="B2412" s="3"/>
    </row>
    <row r="2413" spans="2:2">
      <c r="B2413" s="3"/>
    </row>
    <row r="2414" spans="2:2">
      <c r="B2414" s="3"/>
    </row>
    <row r="2415" spans="2:2">
      <c r="B2415" s="3"/>
    </row>
    <row r="2416" spans="2:2">
      <c r="B2416" s="3"/>
    </row>
    <row r="2417" spans="2:2">
      <c r="B2417" s="3"/>
    </row>
    <row r="2418" spans="2:2">
      <c r="B2418" s="3"/>
    </row>
    <row r="2419" spans="2:2">
      <c r="B2419" s="3"/>
    </row>
    <row r="2420" spans="2:2">
      <c r="B2420" s="3"/>
    </row>
    <row r="2421" spans="2:2">
      <c r="B2421" s="3"/>
    </row>
    <row r="2422" spans="2:2">
      <c r="B2422" s="3"/>
    </row>
    <row r="2423" spans="2:2">
      <c r="B2423" s="3"/>
    </row>
    <row r="2424" spans="2:2">
      <c r="B2424" s="3"/>
    </row>
    <row r="2425" spans="2:2">
      <c r="B2425" s="3"/>
    </row>
    <row r="2426" spans="2:2">
      <c r="B2426" s="3"/>
    </row>
    <row r="2427" spans="2:2">
      <c r="B2427" s="3"/>
    </row>
    <row r="2428" spans="2:2">
      <c r="B2428" s="3"/>
    </row>
    <row r="2429" spans="2:2">
      <c r="B2429" s="3"/>
    </row>
    <row r="2430" spans="2:2">
      <c r="B2430" s="3"/>
    </row>
    <row r="2431" spans="2:2">
      <c r="B2431" s="3"/>
    </row>
    <row r="2432" spans="2:2">
      <c r="B2432" s="3"/>
    </row>
    <row r="2433" spans="2:2">
      <c r="B2433" s="3"/>
    </row>
    <row r="2434" spans="2:2">
      <c r="B2434" s="3"/>
    </row>
    <row r="2435" spans="2:2">
      <c r="B2435" s="3"/>
    </row>
    <row r="2436" spans="2:2">
      <c r="B2436" s="3"/>
    </row>
    <row r="2437" spans="2:2">
      <c r="B2437" s="3"/>
    </row>
    <row r="2438" spans="2:2">
      <c r="B2438" s="3"/>
    </row>
    <row r="2439" spans="2:2">
      <c r="B2439" s="3"/>
    </row>
    <row r="2440" spans="2:2">
      <c r="B2440" s="3"/>
    </row>
    <row r="2441" spans="2:2">
      <c r="B2441" s="3"/>
    </row>
    <row r="2442" spans="2:2">
      <c r="B2442" s="3"/>
    </row>
    <row r="2443" spans="2:2">
      <c r="B2443" s="3"/>
    </row>
    <row r="2444" spans="2:2">
      <c r="B2444" s="3"/>
    </row>
    <row r="2445" spans="2:2">
      <c r="B2445" s="3"/>
    </row>
    <row r="2446" spans="2:2">
      <c r="B2446" s="3"/>
    </row>
    <row r="2447" spans="2:2">
      <c r="B2447" s="3"/>
    </row>
    <row r="2448" spans="2:2">
      <c r="B2448" s="3"/>
    </row>
    <row r="2449" spans="2:2">
      <c r="B2449" s="3"/>
    </row>
    <row r="2450" spans="2:2">
      <c r="B2450" s="3"/>
    </row>
    <row r="2451" spans="2:2">
      <c r="B2451" s="3"/>
    </row>
    <row r="2452" spans="2:2">
      <c r="B2452" s="3"/>
    </row>
    <row r="2453" spans="2:2">
      <c r="B2453" s="3"/>
    </row>
    <row r="2454" spans="2:2">
      <c r="B2454" s="3"/>
    </row>
    <row r="2455" spans="2:2">
      <c r="B2455" s="3"/>
    </row>
    <row r="2456" spans="2:2">
      <c r="B2456" s="3"/>
    </row>
    <row r="2457" spans="2:2">
      <c r="B2457" s="3"/>
    </row>
    <row r="2458" spans="2:2">
      <c r="B2458" s="3"/>
    </row>
    <row r="2459" spans="2:2">
      <c r="B2459" s="3"/>
    </row>
    <row r="2460" spans="2:2">
      <c r="B2460" s="3"/>
    </row>
    <row r="2461" spans="2:2">
      <c r="B2461" s="3"/>
    </row>
    <row r="2462" spans="2:2">
      <c r="B2462" s="3"/>
    </row>
    <row r="2463" spans="2:2">
      <c r="B2463" s="3"/>
    </row>
    <row r="2464" spans="2:2">
      <c r="B2464" s="3"/>
    </row>
    <row r="2465" spans="2:2">
      <c r="B2465" s="3"/>
    </row>
    <row r="2466" spans="2:2">
      <c r="B2466" s="3"/>
    </row>
    <row r="2467" spans="2:2">
      <c r="B2467" s="3"/>
    </row>
    <row r="2468" spans="2:2">
      <c r="B2468" s="3"/>
    </row>
    <row r="2469" spans="2:2">
      <c r="B2469" s="3"/>
    </row>
    <row r="2470" spans="2:2">
      <c r="B2470" s="3"/>
    </row>
    <row r="2471" spans="2:2">
      <c r="B2471" s="3"/>
    </row>
    <row r="2472" spans="2:2">
      <c r="B2472" s="3"/>
    </row>
    <row r="2473" spans="2:2">
      <c r="B2473" s="3"/>
    </row>
    <row r="2474" spans="2:2">
      <c r="B2474" s="3"/>
    </row>
    <row r="2475" spans="2:2">
      <c r="B2475" s="3"/>
    </row>
    <row r="2476" spans="2:2">
      <c r="B2476" s="3"/>
    </row>
    <row r="2477" spans="2:2">
      <c r="B2477" s="3"/>
    </row>
    <row r="2478" spans="2:2">
      <c r="B2478" s="3"/>
    </row>
    <row r="2479" spans="2:2">
      <c r="B2479" s="3"/>
    </row>
    <row r="2480" spans="2:2">
      <c r="B2480" s="3"/>
    </row>
    <row r="2481" spans="2:2">
      <c r="B2481" s="3"/>
    </row>
    <row r="2482" spans="2:2">
      <c r="B2482" s="3"/>
    </row>
    <row r="2483" spans="2:2">
      <c r="B2483" s="3"/>
    </row>
    <row r="2484" spans="2:2">
      <c r="B2484" s="3"/>
    </row>
    <row r="2485" spans="2:2">
      <c r="B2485" s="3"/>
    </row>
    <row r="2486" spans="2:2">
      <c r="B2486" s="3"/>
    </row>
    <row r="2487" spans="2:2">
      <c r="B2487" s="3"/>
    </row>
    <row r="2488" spans="2:2">
      <c r="B2488" s="3"/>
    </row>
    <row r="2489" spans="2:2">
      <c r="B2489" s="3"/>
    </row>
    <row r="2490" spans="2:2">
      <c r="B2490" s="3"/>
    </row>
    <row r="2491" spans="2:2">
      <c r="B2491" s="3"/>
    </row>
    <row r="2492" spans="2:2">
      <c r="B2492" s="3"/>
    </row>
    <row r="2493" spans="2:2">
      <c r="B2493" s="3"/>
    </row>
    <row r="2494" spans="2:2">
      <c r="B2494" s="3"/>
    </row>
    <row r="2495" spans="2:2">
      <c r="B2495" s="3"/>
    </row>
    <row r="2496" spans="2:2">
      <c r="B2496" s="3"/>
    </row>
    <row r="2497" spans="2:2">
      <c r="B2497" s="3"/>
    </row>
    <row r="2498" spans="2:2">
      <c r="B2498" s="3"/>
    </row>
    <row r="2499" spans="2:2">
      <c r="B2499" s="3"/>
    </row>
    <row r="2500" spans="2:2">
      <c r="B2500" s="3"/>
    </row>
    <row r="2501" spans="2:2">
      <c r="B2501" s="3"/>
    </row>
    <row r="2502" spans="2:2">
      <c r="B2502" s="3"/>
    </row>
    <row r="2503" spans="2:2">
      <c r="B2503" s="3"/>
    </row>
    <row r="2504" spans="2:2">
      <c r="B2504" s="3"/>
    </row>
    <row r="2505" spans="2:2">
      <c r="B2505" s="3"/>
    </row>
    <row r="2506" spans="2:2">
      <c r="B2506" s="3"/>
    </row>
    <row r="2507" spans="2:2">
      <c r="B2507" s="3"/>
    </row>
    <row r="2508" spans="2:2">
      <c r="B2508" s="3"/>
    </row>
    <row r="2509" spans="2:2">
      <c r="B2509" s="3"/>
    </row>
    <row r="2510" spans="2:2">
      <c r="B2510" s="3"/>
    </row>
    <row r="2511" spans="2:2">
      <c r="B2511" s="3"/>
    </row>
    <row r="2512" spans="2:2">
      <c r="B2512" s="3"/>
    </row>
    <row r="2513" spans="2:2">
      <c r="B2513" s="3"/>
    </row>
    <row r="2514" spans="2:2">
      <c r="B2514" s="3"/>
    </row>
    <row r="2515" spans="2:2">
      <c r="B2515" s="3"/>
    </row>
    <row r="2516" spans="2:2">
      <c r="B2516" s="3"/>
    </row>
    <row r="2517" spans="2:2">
      <c r="B2517" s="3"/>
    </row>
    <row r="2518" spans="2:2">
      <c r="B2518" s="3"/>
    </row>
    <row r="2519" spans="2:2">
      <c r="B2519" s="3"/>
    </row>
    <row r="2520" spans="2:2">
      <c r="B2520" s="3"/>
    </row>
    <row r="2521" spans="2:2">
      <c r="B2521" s="3"/>
    </row>
    <row r="2522" spans="2:2">
      <c r="B2522" s="3"/>
    </row>
    <row r="2523" spans="2:2">
      <c r="B2523" s="3"/>
    </row>
    <row r="2524" spans="2:2">
      <c r="B2524" s="3"/>
    </row>
    <row r="2525" spans="2:2">
      <c r="B2525" s="3"/>
    </row>
    <row r="2526" spans="2:2">
      <c r="B2526" s="3"/>
    </row>
    <row r="2527" spans="2:2">
      <c r="B2527" s="3"/>
    </row>
    <row r="2528" spans="2:2">
      <c r="B2528" s="3"/>
    </row>
    <row r="2529" spans="2:2">
      <c r="B2529" s="3"/>
    </row>
    <row r="2530" spans="2:2">
      <c r="B2530" s="3"/>
    </row>
    <row r="2531" spans="2:2">
      <c r="B2531" s="3"/>
    </row>
    <row r="2532" spans="2:2">
      <c r="B2532" s="3"/>
    </row>
    <row r="2533" spans="2:2">
      <c r="B2533" s="3"/>
    </row>
    <row r="2534" spans="2:2">
      <c r="B2534" s="3"/>
    </row>
    <row r="2535" spans="2:2">
      <c r="B2535" s="3"/>
    </row>
    <row r="2536" spans="2:2">
      <c r="B2536" s="3"/>
    </row>
    <row r="2537" spans="2:2">
      <c r="B2537" s="3"/>
    </row>
    <row r="2538" spans="2:2">
      <c r="B2538" s="3"/>
    </row>
    <row r="2539" spans="2:2">
      <c r="B2539" s="3"/>
    </row>
    <row r="2540" spans="2:2">
      <c r="B2540" s="3"/>
    </row>
    <row r="2541" spans="2:2">
      <c r="B2541" s="3"/>
    </row>
    <row r="2542" spans="2:2">
      <c r="B2542" s="3"/>
    </row>
    <row r="2543" spans="2:2">
      <c r="B2543" s="3"/>
    </row>
    <row r="2544" spans="2:2">
      <c r="B2544" s="3"/>
    </row>
    <row r="2545" spans="2:2">
      <c r="B2545" s="3"/>
    </row>
    <row r="2546" spans="2:2">
      <c r="B2546" s="3"/>
    </row>
    <row r="2547" spans="2:2">
      <c r="B2547" s="3"/>
    </row>
    <row r="2548" spans="2:2">
      <c r="B2548" s="3"/>
    </row>
    <row r="2549" spans="2:2">
      <c r="B2549" s="3"/>
    </row>
    <row r="2550" spans="2:2">
      <c r="B2550" s="3"/>
    </row>
    <row r="2551" spans="2:2">
      <c r="B2551" s="3"/>
    </row>
    <row r="2552" spans="2:2">
      <c r="B2552" s="3"/>
    </row>
    <row r="2553" spans="2:2">
      <c r="B2553" s="3"/>
    </row>
    <row r="2554" spans="2:2">
      <c r="B2554" s="3"/>
    </row>
    <row r="2555" spans="2:2">
      <c r="B2555" s="3"/>
    </row>
    <row r="2556" spans="2:2">
      <c r="B2556" s="3"/>
    </row>
    <row r="2557" spans="2:2">
      <c r="B2557" s="3"/>
    </row>
    <row r="2558" spans="2:2">
      <c r="B2558" s="3"/>
    </row>
    <row r="2559" spans="2:2">
      <c r="B2559" s="3"/>
    </row>
    <row r="2560" spans="2:2">
      <c r="B2560" s="3"/>
    </row>
    <row r="2561" spans="2:2">
      <c r="B2561" s="3"/>
    </row>
    <row r="2562" spans="2:2">
      <c r="B2562" s="3"/>
    </row>
    <row r="2563" spans="2:2">
      <c r="B2563" s="3"/>
    </row>
    <row r="2564" spans="2:2">
      <c r="B2564" s="3"/>
    </row>
    <row r="2565" spans="2:2">
      <c r="B2565" s="3"/>
    </row>
    <row r="2566" spans="2:2">
      <c r="B2566" s="3"/>
    </row>
    <row r="2567" spans="2:2">
      <c r="B2567" s="3"/>
    </row>
    <row r="2568" spans="2:2">
      <c r="B2568" s="3"/>
    </row>
    <row r="2569" spans="2:2">
      <c r="B2569" s="3"/>
    </row>
    <row r="2570" spans="2:2">
      <c r="B2570" s="3"/>
    </row>
    <row r="2571" spans="2:2">
      <c r="B2571" s="3"/>
    </row>
    <row r="2572" spans="2:2">
      <c r="B2572" s="3"/>
    </row>
    <row r="2573" spans="2:2">
      <c r="B2573" s="3"/>
    </row>
    <row r="2574" spans="2:2">
      <c r="B2574" s="3"/>
    </row>
    <row r="2575" spans="2:2">
      <c r="B2575" s="3"/>
    </row>
    <row r="2576" spans="2:2">
      <c r="B2576" s="3"/>
    </row>
    <row r="2577" spans="2:2">
      <c r="B2577" s="3"/>
    </row>
    <row r="2578" spans="2:2">
      <c r="B2578" s="3"/>
    </row>
    <row r="2579" spans="2:2">
      <c r="B2579" s="3"/>
    </row>
    <row r="2580" spans="2:2">
      <c r="B2580" s="3"/>
    </row>
    <row r="2581" spans="2:2">
      <c r="B2581" s="3"/>
    </row>
    <row r="2582" spans="2:2">
      <c r="B2582" s="3"/>
    </row>
    <row r="2583" spans="2:2">
      <c r="B2583" s="3"/>
    </row>
    <row r="2584" spans="2:2">
      <c r="B2584" s="3"/>
    </row>
    <row r="2585" spans="2:2">
      <c r="B2585" s="3"/>
    </row>
    <row r="2586" spans="2:2">
      <c r="B2586" s="3"/>
    </row>
    <row r="2587" spans="2:2">
      <c r="B2587" s="3"/>
    </row>
    <row r="2588" spans="2:2">
      <c r="B2588" s="3"/>
    </row>
    <row r="2589" spans="2:2">
      <c r="B2589" s="3"/>
    </row>
    <row r="2590" spans="2:2">
      <c r="B2590" s="3"/>
    </row>
    <row r="2591" spans="2:2">
      <c r="B2591" s="3"/>
    </row>
    <row r="2592" spans="2:2">
      <c r="B2592" s="3"/>
    </row>
    <row r="2593" spans="2:2">
      <c r="B2593" s="3"/>
    </row>
    <row r="2594" spans="2:2">
      <c r="B2594" s="3"/>
    </row>
    <row r="2595" spans="2:2">
      <c r="B2595" s="3"/>
    </row>
    <row r="2596" spans="2:2">
      <c r="B2596" s="3"/>
    </row>
    <row r="2597" spans="2:2">
      <c r="B2597" s="3"/>
    </row>
    <row r="2598" spans="2:2">
      <c r="B2598" s="3"/>
    </row>
    <row r="2599" spans="2:2">
      <c r="B2599" s="3"/>
    </row>
    <row r="2600" spans="2:2">
      <c r="B2600" s="3"/>
    </row>
    <row r="2601" spans="2:2">
      <c r="B2601" s="3"/>
    </row>
    <row r="2602" spans="2:2">
      <c r="B2602" s="3"/>
    </row>
    <row r="2603" spans="2:2">
      <c r="B2603" s="3"/>
    </row>
    <row r="2604" spans="2:2">
      <c r="B2604" s="3"/>
    </row>
    <row r="2605" spans="2:2">
      <c r="B2605" s="3"/>
    </row>
    <row r="2606" spans="2:2">
      <c r="B2606" s="3"/>
    </row>
    <row r="2607" spans="2:2">
      <c r="B2607" s="3"/>
    </row>
    <row r="2608" spans="2:2">
      <c r="B2608" s="3"/>
    </row>
    <row r="2609" spans="2:2">
      <c r="B2609" s="3"/>
    </row>
    <row r="2610" spans="2:2">
      <c r="B2610" s="3"/>
    </row>
    <row r="2611" spans="2:2">
      <c r="B2611" s="3"/>
    </row>
    <row r="2612" spans="2:2">
      <c r="B2612" s="3"/>
    </row>
    <row r="2613" spans="2:2">
      <c r="B2613" s="3"/>
    </row>
    <row r="2614" spans="2:2">
      <c r="B2614" s="3"/>
    </row>
    <row r="2615" spans="2:2">
      <c r="B2615" s="3"/>
    </row>
    <row r="2616" spans="2:2">
      <c r="B2616" s="3"/>
    </row>
    <row r="2617" spans="2:2">
      <c r="B2617" s="3"/>
    </row>
    <row r="2618" spans="2:2">
      <c r="B2618" s="3"/>
    </row>
    <row r="2619" spans="2:2">
      <c r="B2619" s="3"/>
    </row>
    <row r="2620" spans="2:2">
      <c r="B2620" s="3"/>
    </row>
    <row r="2621" spans="2:2">
      <c r="B2621" s="3"/>
    </row>
    <row r="2622" spans="2:2">
      <c r="B2622" s="3"/>
    </row>
    <row r="2623" spans="2:2">
      <c r="B2623" s="3"/>
    </row>
    <row r="2624" spans="2:2">
      <c r="B2624" s="3"/>
    </row>
    <row r="2625" spans="2:2">
      <c r="B2625" s="3"/>
    </row>
    <row r="2626" spans="2:2">
      <c r="B2626" s="3"/>
    </row>
    <row r="2627" spans="2:2">
      <c r="B2627" s="3"/>
    </row>
    <row r="2628" spans="2:2">
      <c r="B2628" s="3"/>
    </row>
    <row r="2629" spans="2:2">
      <c r="B2629" s="3"/>
    </row>
    <row r="2630" spans="2:2">
      <c r="B2630" s="3"/>
    </row>
    <row r="2631" spans="2:2">
      <c r="B2631" s="3"/>
    </row>
    <row r="2632" spans="2:2">
      <c r="B2632" s="3"/>
    </row>
    <row r="2633" spans="2:2">
      <c r="B2633" s="3"/>
    </row>
    <row r="2634" spans="2:2">
      <c r="B2634" s="3"/>
    </row>
    <row r="2635" spans="2:2">
      <c r="B2635" s="3"/>
    </row>
    <row r="2636" spans="2:2">
      <c r="B2636" s="3"/>
    </row>
    <row r="2637" spans="2:2">
      <c r="B2637" s="3"/>
    </row>
    <row r="2638" spans="2:2">
      <c r="B2638" s="3"/>
    </row>
    <row r="2639" spans="2:2">
      <c r="B2639" s="3"/>
    </row>
    <row r="2640" spans="2:2">
      <c r="B2640" s="3"/>
    </row>
    <row r="2641" spans="2:2">
      <c r="B2641" s="3"/>
    </row>
    <row r="2642" spans="2:2">
      <c r="B2642" s="3"/>
    </row>
    <row r="2643" spans="2:2">
      <c r="B2643" s="3"/>
    </row>
    <row r="2644" spans="2:2">
      <c r="B2644" s="3"/>
    </row>
    <row r="2645" spans="2:2">
      <c r="B2645" s="3"/>
    </row>
    <row r="2646" spans="2:2">
      <c r="B2646" s="3"/>
    </row>
    <row r="2647" spans="2:2">
      <c r="B2647" s="3"/>
    </row>
    <row r="2648" spans="2:2">
      <c r="B2648" s="3"/>
    </row>
    <row r="2649" spans="2:2">
      <c r="B2649" s="3"/>
    </row>
    <row r="2650" spans="2:2">
      <c r="B2650" s="3"/>
    </row>
    <row r="2651" spans="2:2">
      <c r="B2651" s="3"/>
    </row>
    <row r="2652" spans="2:2">
      <c r="B2652" s="3"/>
    </row>
    <row r="2653" spans="2:2">
      <c r="B2653" s="3"/>
    </row>
    <row r="2654" spans="2:2">
      <c r="B2654" s="3"/>
    </row>
    <row r="2655" spans="2:2">
      <c r="B2655" s="3"/>
    </row>
    <row r="2656" spans="2:2">
      <c r="B2656" s="3"/>
    </row>
    <row r="2657" spans="2:2">
      <c r="B2657" s="3"/>
    </row>
    <row r="2658" spans="2:2">
      <c r="B2658" s="3"/>
    </row>
    <row r="2659" spans="2:2">
      <c r="B2659" s="3"/>
    </row>
    <row r="2660" spans="2:2">
      <c r="B2660" s="3"/>
    </row>
    <row r="2661" spans="2:2">
      <c r="B2661" s="3"/>
    </row>
    <row r="2662" spans="2:2">
      <c r="B2662" s="3"/>
    </row>
    <row r="2663" spans="2:2">
      <c r="B2663" s="3"/>
    </row>
    <row r="2664" spans="2:2">
      <c r="B2664" s="3"/>
    </row>
    <row r="2665" spans="2:2">
      <c r="B2665" s="3"/>
    </row>
    <row r="2666" spans="2:2">
      <c r="B2666" s="3"/>
    </row>
    <row r="2667" spans="2:2">
      <c r="B2667" s="3"/>
    </row>
    <row r="2668" spans="2:2">
      <c r="B2668" s="3"/>
    </row>
    <row r="2669" spans="2:2">
      <c r="B2669" s="3"/>
    </row>
    <row r="2670" spans="2:2">
      <c r="B2670" s="3"/>
    </row>
    <row r="2671" spans="2:2">
      <c r="B2671" s="3"/>
    </row>
    <row r="2672" spans="2:2">
      <c r="B2672" s="3"/>
    </row>
    <row r="2673" spans="2:2">
      <c r="B2673" s="3"/>
    </row>
    <row r="2674" spans="2:2">
      <c r="B2674" s="3"/>
    </row>
    <row r="2675" spans="2:2">
      <c r="B2675" s="3"/>
    </row>
    <row r="2676" spans="2:2">
      <c r="B2676" s="3"/>
    </row>
    <row r="2677" spans="2:2">
      <c r="B2677" s="3"/>
    </row>
    <row r="2678" spans="2:2">
      <c r="B2678" s="3"/>
    </row>
    <row r="2679" spans="2:2">
      <c r="B2679" s="3"/>
    </row>
    <row r="2680" spans="2:2">
      <c r="B2680" s="3"/>
    </row>
    <row r="2681" spans="2:2">
      <c r="B2681" s="3"/>
    </row>
    <row r="2682" spans="2:2">
      <c r="B2682" s="3"/>
    </row>
    <row r="2683" spans="2:2">
      <c r="B2683" s="3"/>
    </row>
    <row r="2684" spans="2:2">
      <c r="B2684" s="3"/>
    </row>
    <row r="2685" spans="2:2">
      <c r="B2685" s="3"/>
    </row>
    <row r="2686" spans="2:2">
      <c r="B2686" s="3"/>
    </row>
    <row r="2687" spans="2:2">
      <c r="B2687" s="3"/>
    </row>
    <row r="2688" spans="2:2">
      <c r="B2688" s="3"/>
    </row>
    <row r="2689" spans="2:2">
      <c r="B2689" s="3"/>
    </row>
    <row r="2690" spans="2:2">
      <c r="B2690" s="3"/>
    </row>
    <row r="2691" spans="2:2">
      <c r="B2691" s="3"/>
    </row>
    <row r="2692" spans="2:2">
      <c r="B2692" s="3"/>
    </row>
    <row r="2693" spans="2:2">
      <c r="B2693" s="3"/>
    </row>
    <row r="2694" spans="2:2">
      <c r="B2694" s="3"/>
    </row>
    <row r="2695" spans="2:2">
      <c r="B2695" s="3"/>
    </row>
    <row r="2696" spans="2:2">
      <c r="B2696" s="3"/>
    </row>
    <row r="2697" spans="2:2">
      <c r="B2697" s="3"/>
    </row>
    <row r="2698" spans="2:2">
      <c r="B2698" s="3"/>
    </row>
    <row r="2699" spans="2:2">
      <c r="B2699" s="3"/>
    </row>
    <row r="2700" spans="2:2">
      <c r="B2700" s="3"/>
    </row>
    <row r="2701" spans="2:2">
      <c r="B2701" s="3"/>
    </row>
    <row r="2702" spans="2:2">
      <c r="B2702" s="3"/>
    </row>
    <row r="2703" spans="2:2">
      <c r="B2703" s="3"/>
    </row>
    <row r="2704" spans="2:2">
      <c r="B2704" s="3"/>
    </row>
    <row r="2705" spans="2:2">
      <c r="B2705" s="3"/>
    </row>
    <row r="2706" spans="2:2">
      <c r="B2706" s="3"/>
    </row>
    <row r="2707" spans="2:2">
      <c r="B2707" s="3"/>
    </row>
    <row r="2708" spans="2:2">
      <c r="B2708" s="3"/>
    </row>
    <row r="2709" spans="2:2">
      <c r="B2709" s="3"/>
    </row>
    <row r="2710" spans="2:2">
      <c r="B2710" s="3"/>
    </row>
    <row r="2711" spans="2:2">
      <c r="B2711" s="3"/>
    </row>
    <row r="2712" spans="2:2">
      <c r="B2712" s="3"/>
    </row>
    <row r="2713" spans="2:2">
      <c r="B2713" s="3"/>
    </row>
    <row r="2714" spans="2:2">
      <c r="B2714" s="3"/>
    </row>
    <row r="2715" spans="2:2">
      <c r="B2715" s="3"/>
    </row>
    <row r="2716" spans="2:2">
      <c r="B2716" s="3"/>
    </row>
    <row r="2717" spans="2:2">
      <c r="B2717" s="3"/>
    </row>
    <row r="2718" spans="2:2">
      <c r="B2718" s="3"/>
    </row>
    <row r="2719" spans="2:2">
      <c r="B2719" s="3"/>
    </row>
    <row r="2720" spans="2:2">
      <c r="B2720" s="3"/>
    </row>
    <row r="2721" spans="2:2">
      <c r="B2721" s="3"/>
    </row>
    <row r="2722" spans="2:2">
      <c r="B2722" s="3"/>
    </row>
    <row r="2723" spans="2:2">
      <c r="B2723" s="3"/>
    </row>
    <row r="2724" spans="2:2">
      <c r="B2724" s="3"/>
    </row>
    <row r="2725" spans="2:2">
      <c r="B2725" s="3"/>
    </row>
    <row r="2726" spans="2:2">
      <c r="B2726" s="3"/>
    </row>
    <row r="2727" spans="2:2">
      <c r="B2727" s="3"/>
    </row>
    <row r="2728" spans="2:2">
      <c r="B2728" s="3"/>
    </row>
    <row r="2729" spans="2:2">
      <c r="B2729" s="3"/>
    </row>
    <row r="2730" spans="2:2">
      <c r="B2730" s="3"/>
    </row>
    <row r="2731" spans="2:2">
      <c r="B2731" s="3"/>
    </row>
    <row r="2732" spans="2:2">
      <c r="B2732" s="3"/>
    </row>
    <row r="2733" spans="2:2">
      <c r="B2733" s="3"/>
    </row>
    <row r="2734" spans="2:2">
      <c r="B2734" s="3"/>
    </row>
    <row r="2735" spans="2:2">
      <c r="B2735" s="3"/>
    </row>
    <row r="2736" spans="2:2">
      <c r="B2736" s="3"/>
    </row>
    <row r="2737" spans="2:2">
      <c r="B2737" s="3"/>
    </row>
    <row r="2738" spans="2:2">
      <c r="B2738" s="3"/>
    </row>
    <row r="2739" spans="2:2">
      <c r="B2739" s="3"/>
    </row>
    <row r="2740" spans="2:2">
      <c r="B2740" s="3"/>
    </row>
    <row r="2741" spans="2:2">
      <c r="B2741" s="3"/>
    </row>
    <row r="2742" spans="2:2">
      <c r="B2742" s="3"/>
    </row>
    <row r="2743" spans="2:2">
      <c r="B2743" s="3"/>
    </row>
    <row r="2744" spans="2:2">
      <c r="B2744" s="3"/>
    </row>
    <row r="2745" spans="2:2">
      <c r="B2745" s="3"/>
    </row>
    <row r="2746" spans="2:2">
      <c r="B2746" s="3"/>
    </row>
    <row r="2747" spans="2:2">
      <c r="B2747" s="3"/>
    </row>
    <row r="2748" spans="2:2">
      <c r="B2748" s="3"/>
    </row>
    <row r="2749" spans="2:2">
      <c r="B2749" s="3"/>
    </row>
    <row r="2750" spans="2:2">
      <c r="B2750" s="3"/>
    </row>
    <row r="2751" spans="2:2">
      <c r="B2751" s="3"/>
    </row>
    <row r="2752" spans="2:2">
      <c r="B2752" s="3"/>
    </row>
    <row r="2753" spans="2:2">
      <c r="B2753" s="3"/>
    </row>
    <row r="2754" spans="2:2">
      <c r="B2754" s="3"/>
    </row>
    <row r="2755" spans="2:2">
      <c r="B2755" s="3"/>
    </row>
    <row r="2756" spans="2:2">
      <c r="B2756" s="3"/>
    </row>
    <row r="2757" spans="2:2">
      <c r="B2757" s="3"/>
    </row>
    <row r="2758" spans="2:2">
      <c r="B2758" s="3"/>
    </row>
    <row r="2759" spans="2:2">
      <c r="B2759" s="3"/>
    </row>
    <row r="2760" spans="2:2">
      <c r="B2760" s="3"/>
    </row>
    <row r="2761" spans="2:2">
      <c r="B2761" s="3"/>
    </row>
    <row r="2762" spans="2:2">
      <c r="B2762" s="3"/>
    </row>
    <row r="2763" spans="2:2">
      <c r="B2763" s="3"/>
    </row>
    <row r="2764" spans="2:2">
      <c r="B2764" s="3"/>
    </row>
    <row r="2765" spans="2:2">
      <c r="B2765" s="3"/>
    </row>
    <row r="2766" spans="2:2">
      <c r="B2766" s="3"/>
    </row>
    <row r="2767" spans="2:2">
      <c r="B2767" s="3"/>
    </row>
    <row r="2768" spans="2:2">
      <c r="B2768" s="3"/>
    </row>
    <row r="2769" spans="2:2">
      <c r="B2769" s="3"/>
    </row>
    <row r="2770" spans="2:2">
      <c r="B2770" s="3"/>
    </row>
    <row r="2771" spans="2:2">
      <c r="B2771" s="3"/>
    </row>
    <row r="2772" spans="2:2">
      <c r="B2772" s="3"/>
    </row>
    <row r="2773" spans="2:2">
      <c r="B2773" s="3"/>
    </row>
    <row r="2774" spans="2:2">
      <c r="B2774" s="3"/>
    </row>
    <row r="2775" spans="2:2">
      <c r="B2775" s="3"/>
    </row>
    <row r="2776" spans="2:2">
      <c r="B2776" s="3"/>
    </row>
    <row r="2777" spans="2:2">
      <c r="B2777" s="3"/>
    </row>
    <row r="2778" spans="2:2">
      <c r="B2778" s="3"/>
    </row>
    <row r="2779" spans="2:2">
      <c r="B2779" s="3"/>
    </row>
    <row r="2780" spans="2:2">
      <c r="B2780" s="3"/>
    </row>
    <row r="2781" spans="2:2">
      <c r="B2781" s="3"/>
    </row>
    <row r="2782" spans="2:2">
      <c r="B2782" s="3"/>
    </row>
    <row r="2783" spans="2:2">
      <c r="B2783" s="3"/>
    </row>
    <row r="2784" spans="2:2">
      <c r="B2784" s="3"/>
    </row>
    <row r="2785" spans="2:2">
      <c r="B2785" s="3"/>
    </row>
    <row r="2786" spans="2:2">
      <c r="B2786" s="3"/>
    </row>
    <row r="2787" spans="2:2">
      <c r="B2787" s="3"/>
    </row>
    <row r="2788" spans="2:2">
      <c r="B2788" s="3"/>
    </row>
    <row r="2789" spans="2:2">
      <c r="B2789" s="3"/>
    </row>
    <row r="2790" spans="2:2">
      <c r="B2790" s="3"/>
    </row>
    <row r="2791" spans="2:2">
      <c r="B2791" s="3"/>
    </row>
    <row r="2792" spans="2:2">
      <c r="B2792" s="3"/>
    </row>
    <row r="2793" spans="2:2">
      <c r="B2793" s="3"/>
    </row>
    <row r="2794" spans="2:2">
      <c r="B2794" s="3"/>
    </row>
    <row r="2795" spans="2:2">
      <c r="B2795" s="3"/>
    </row>
    <row r="2796" spans="2:2">
      <c r="B2796" s="3"/>
    </row>
    <row r="2797" spans="2:2">
      <c r="B2797" s="3"/>
    </row>
    <row r="2798" spans="2:2">
      <c r="B2798" s="3"/>
    </row>
    <row r="2799" spans="2:2">
      <c r="B2799" s="3"/>
    </row>
    <row r="2800" spans="2:2">
      <c r="B2800" s="3"/>
    </row>
    <row r="2801" spans="2:2">
      <c r="B2801" s="3"/>
    </row>
    <row r="2802" spans="2:2">
      <c r="B2802" s="3"/>
    </row>
    <row r="2803" spans="2:2">
      <c r="B2803" s="3"/>
    </row>
    <row r="2804" spans="2:2">
      <c r="B2804" s="3"/>
    </row>
    <row r="2805" spans="2:2">
      <c r="B2805" s="3"/>
    </row>
    <row r="2806" spans="2:2">
      <c r="B2806" s="3"/>
    </row>
    <row r="2807" spans="2:2">
      <c r="B2807" s="3"/>
    </row>
    <row r="2808" spans="2:2">
      <c r="B2808" s="3"/>
    </row>
    <row r="2809" spans="2:2">
      <c r="B2809" s="3"/>
    </row>
    <row r="2810" spans="2:2">
      <c r="B2810" s="3"/>
    </row>
    <row r="2811" spans="2:2">
      <c r="B2811" s="3"/>
    </row>
    <row r="2812" spans="2:2">
      <c r="B2812" s="3"/>
    </row>
    <row r="2813" spans="2:2">
      <c r="B2813" s="3"/>
    </row>
    <row r="2814" spans="2:2">
      <c r="B2814" s="3"/>
    </row>
    <row r="2815" spans="2:2">
      <c r="B2815" s="3"/>
    </row>
    <row r="2816" spans="2:2">
      <c r="B2816" s="3"/>
    </row>
    <row r="2817" spans="2:2">
      <c r="B2817" s="3"/>
    </row>
    <row r="2818" spans="2:2">
      <c r="B2818" s="3"/>
    </row>
    <row r="2819" spans="2:2">
      <c r="B2819" s="3"/>
    </row>
    <row r="2820" spans="2:2">
      <c r="B2820" s="3"/>
    </row>
    <row r="2821" spans="2:2">
      <c r="B2821" s="3"/>
    </row>
    <row r="2822" spans="2:2">
      <c r="B2822" s="3"/>
    </row>
    <row r="2823" spans="2:2">
      <c r="B2823" s="3"/>
    </row>
    <row r="2824" spans="2:2">
      <c r="B2824" s="3"/>
    </row>
    <row r="2825" spans="2:2">
      <c r="B2825" s="3"/>
    </row>
    <row r="2826" spans="2:2">
      <c r="B2826" s="3"/>
    </row>
    <row r="2827" spans="2:2">
      <c r="B2827" s="3"/>
    </row>
    <row r="2828" spans="2:2">
      <c r="B2828" s="3"/>
    </row>
    <row r="2829" spans="2:2">
      <c r="B2829" s="3"/>
    </row>
    <row r="2830" spans="2:2">
      <c r="B2830" s="3"/>
    </row>
    <row r="2831" spans="2:2">
      <c r="B2831" s="3"/>
    </row>
    <row r="2832" spans="2:2">
      <c r="B2832" s="3"/>
    </row>
    <row r="2833" spans="2:2">
      <c r="B2833" s="3"/>
    </row>
    <row r="2834" spans="2:2">
      <c r="B2834" s="3"/>
    </row>
    <row r="2835" spans="2:2">
      <c r="B2835" s="3"/>
    </row>
    <row r="2836" spans="2:2">
      <c r="B2836" s="3"/>
    </row>
    <row r="2837" spans="2:2">
      <c r="B2837" s="3"/>
    </row>
    <row r="2838" spans="2:2">
      <c r="B2838" s="3"/>
    </row>
    <row r="2839" spans="2:2">
      <c r="B2839" s="3"/>
    </row>
    <row r="2840" spans="2:2">
      <c r="B2840" s="3"/>
    </row>
    <row r="2841" spans="2:2">
      <c r="B2841" s="3"/>
    </row>
    <row r="2842" spans="2:2">
      <c r="B2842" s="3"/>
    </row>
    <row r="2843" spans="2:2">
      <c r="B2843" s="3"/>
    </row>
    <row r="2844" spans="2:2">
      <c r="B2844" s="3"/>
    </row>
    <row r="2845" spans="2:2">
      <c r="B2845" s="3"/>
    </row>
    <row r="2846" spans="2:2">
      <c r="B2846" s="3"/>
    </row>
    <row r="2847" spans="2:2">
      <c r="B2847" s="3"/>
    </row>
    <row r="2848" spans="2:2">
      <c r="B2848" s="3"/>
    </row>
    <row r="2849" spans="2:2">
      <c r="B2849" s="3"/>
    </row>
    <row r="2850" spans="2:2">
      <c r="B2850" s="3"/>
    </row>
    <row r="2851" spans="2:2">
      <c r="B2851" s="3"/>
    </row>
    <row r="2852" spans="2:2">
      <c r="B2852" s="3"/>
    </row>
    <row r="2853" spans="2:2">
      <c r="B2853" s="3"/>
    </row>
    <row r="2854" spans="2:2">
      <c r="B2854" s="3"/>
    </row>
    <row r="2855" spans="2:2">
      <c r="B2855" s="3"/>
    </row>
    <row r="2856" spans="2:2">
      <c r="B2856" s="3"/>
    </row>
    <row r="2857" spans="2:2">
      <c r="B2857" s="3"/>
    </row>
    <row r="2858" spans="2:2">
      <c r="B2858" s="3"/>
    </row>
    <row r="2859" spans="2:2">
      <c r="B2859" s="3"/>
    </row>
    <row r="2860" spans="2:2">
      <c r="B2860" s="3"/>
    </row>
    <row r="2861" spans="2:2">
      <c r="B2861" s="3"/>
    </row>
    <row r="2862" spans="2:2">
      <c r="B2862" s="3"/>
    </row>
    <row r="2863" spans="2:2">
      <c r="B2863" s="3"/>
    </row>
    <row r="2864" spans="2:2">
      <c r="B2864" s="3"/>
    </row>
    <row r="2865" spans="2:2">
      <c r="B2865" s="3"/>
    </row>
    <row r="2866" spans="2:2">
      <c r="B2866" s="3"/>
    </row>
    <row r="2867" spans="2:2">
      <c r="B2867" s="3"/>
    </row>
    <row r="2868" spans="2:2">
      <c r="B2868" s="3"/>
    </row>
    <row r="2869" spans="2:2">
      <c r="B2869" s="3"/>
    </row>
    <row r="2870" spans="2:2">
      <c r="B2870" s="3"/>
    </row>
    <row r="2871" spans="2:2">
      <c r="B2871" s="3"/>
    </row>
    <row r="2872" spans="2:2">
      <c r="B2872" s="3"/>
    </row>
    <row r="2873" spans="2:2">
      <c r="B2873" s="3"/>
    </row>
    <row r="2874" spans="2:2">
      <c r="B2874" s="3"/>
    </row>
    <row r="2875" spans="2:2">
      <c r="B2875" s="3"/>
    </row>
    <row r="2876" spans="2:2">
      <c r="B2876" s="3"/>
    </row>
    <row r="2877" spans="2:2">
      <c r="B2877" s="3"/>
    </row>
    <row r="2878" spans="2:2">
      <c r="B2878" s="3"/>
    </row>
    <row r="2879" spans="2:2">
      <c r="B2879" s="3"/>
    </row>
    <row r="2880" spans="2:2">
      <c r="B2880" s="3"/>
    </row>
    <row r="2881" spans="2:2">
      <c r="B2881" s="3"/>
    </row>
    <row r="2882" spans="2:2">
      <c r="B2882" s="3"/>
    </row>
    <row r="2883" spans="2:2">
      <c r="B2883" s="3"/>
    </row>
    <row r="2884" spans="2:2">
      <c r="B2884" s="3"/>
    </row>
    <row r="2885" spans="2:2">
      <c r="B2885" s="3"/>
    </row>
    <row r="2886" spans="2:2">
      <c r="B2886" s="3"/>
    </row>
    <row r="2887" spans="2:2">
      <c r="B2887" s="3"/>
    </row>
    <row r="2888" spans="2:2">
      <c r="B2888" s="3"/>
    </row>
    <row r="2889" spans="2:2">
      <c r="B2889" s="3"/>
    </row>
    <row r="2890" spans="2:2">
      <c r="B2890" s="3"/>
    </row>
    <row r="2891" spans="2:2">
      <c r="B2891" s="3"/>
    </row>
    <row r="2892" spans="2:2">
      <c r="B2892" s="3"/>
    </row>
    <row r="2893" spans="2:2">
      <c r="B2893" s="3"/>
    </row>
    <row r="2894" spans="2:2">
      <c r="B2894" s="3"/>
    </row>
    <row r="2895" spans="2:2">
      <c r="B2895" s="3"/>
    </row>
    <row r="2896" spans="2:2">
      <c r="B2896" s="3"/>
    </row>
    <row r="2897" spans="2:2">
      <c r="B2897" s="3"/>
    </row>
    <row r="2898" spans="2:2">
      <c r="B2898" s="3"/>
    </row>
    <row r="2899" spans="2:2">
      <c r="B2899" s="3"/>
    </row>
    <row r="2900" spans="2:2">
      <c r="B2900" s="3"/>
    </row>
    <row r="2901" spans="2:2">
      <c r="B2901" s="3"/>
    </row>
    <row r="2902" spans="2:2">
      <c r="B2902" s="3"/>
    </row>
    <row r="2903" spans="2:2">
      <c r="B2903" s="3"/>
    </row>
    <row r="2904" spans="2:2">
      <c r="B2904" s="3"/>
    </row>
    <row r="2905" spans="2:2">
      <c r="B2905" s="3"/>
    </row>
    <row r="2906" spans="2:2">
      <c r="B2906" s="3"/>
    </row>
    <row r="2907" spans="2:2">
      <c r="B2907" s="3"/>
    </row>
    <row r="2908" spans="2:2">
      <c r="B2908" s="3"/>
    </row>
    <row r="2909" spans="2:2">
      <c r="B2909" s="3"/>
    </row>
    <row r="2910" spans="2:2">
      <c r="B2910" s="3"/>
    </row>
    <row r="2911" spans="2:2">
      <c r="B2911" s="3"/>
    </row>
    <row r="2912" spans="2:2">
      <c r="B2912" s="3"/>
    </row>
    <row r="2913" spans="2:2">
      <c r="B2913" s="3"/>
    </row>
    <row r="2914" spans="2:2">
      <c r="B2914" s="3"/>
    </row>
    <row r="2915" spans="2:2">
      <c r="B2915" s="3"/>
    </row>
    <row r="2916" spans="2:2">
      <c r="B2916" s="3"/>
    </row>
    <row r="2917" spans="2:2">
      <c r="B2917" s="3"/>
    </row>
    <row r="2918" spans="2:2">
      <c r="B2918" s="3"/>
    </row>
    <row r="2919" spans="2:2">
      <c r="B2919" s="3"/>
    </row>
    <row r="2920" spans="2:2">
      <c r="B2920" s="3"/>
    </row>
    <row r="2921" spans="2:2">
      <c r="B2921" s="3"/>
    </row>
    <row r="2922" spans="2:2">
      <c r="B2922" s="3"/>
    </row>
    <row r="2923" spans="2:2">
      <c r="B2923" s="3"/>
    </row>
    <row r="2924" spans="2:2">
      <c r="B2924" s="3"/>
    </row>
    <row r="2925" spans="2:2">
      <c r="B2925" s="3"/>
    </row>
    <row r="2926" spans="2:2">
      <c r="B2926" s="3"/>
    </row>
    <row r="2927" spans="2:2">
      <c r="B2927" s="3"/>
    </row>
    <row r="2928" spans="2:2">
      <c r="B2928" s="3"/>
    </row>
    <row r="2929" spans="2:2">
      <c r="B2929" s="3"/>
    </row>
    <row r="2930" spans="2:2">
      <c r="B2930" s="3"/>
    </row>
    <row r="2931" spans="2:2">
      <c r="B2931" s="3"/>
    </row>
    <row r="2932" spans="2:2">
      <c r="B2932" s="3"/>
    </row>
    <row r="2933" spans="2:2">
      <c r="B2933" s="3"/>
    </row>
    <row r="2934" spans="2:2">
      <c r="B2934" s="3"/>
    </row>
    <row r="2935" spans="2:2">
      <c r="B2935" s="3"/>
    </row>
    <row r="2936" spans="2:2">
      <c r="B2936" s="3"/>
    </row>
    <row r="2937" spans="2:2">
      <c r="B2937" s="3"/>
    </row>
    <row r="2938" spans="2:2">
      <c r="B2938" s="3"/>
    </row>
    <row r="2939" spans="2:2">
      <c r="B2939" s="3"/>
    </row>
    <row r="2940" spans="2:2">
      <c r="B2940" s="3"/>
    </row>
    <row r="2941" spans="2:2">
      <c r="B2941" s="3"/>
    </row>
    <row r="2942" spans="2:2">
      <c r="B2942" s="3"/>
    </row>
    <row r="2943" spans="2:2">
      <c r="B2943" s="3"/>
    </row>
    <row r="2944" spans="2:2">
      <c r="B2944" s="3"/>
    </row>
    <row r="2945" spans="2:2">
      <c r="B2945" s="3"/>
    </row>
    <row r="2946" spans="2:2">
      <c r="B2946" s="3"/>
    </row>
    <row r="2947" spans="2:2">
      <c r="B2947" s="3"/>
    </row>
    <row r="2948" spans="2:2">
      <c r="B2948" s="3"/>
    </row>
    <row r="2949" spans="2:2">
      <c r="B2949" s="3"/>
    </row>
    <row r="2950" spans="2:2">
      <c r="B2950" s="3"/>
    </row>
    <row r="2951" spans="2:2">
      <c r="B2951" s="3"/>
    </row>
    <row r="2952" spans="2:2">
      <c r="B2952" s="3"/>
    </row>
    <row r="2953" spans="2:2">
      <c r="B2953" s="3"/>
    </row>
    <row r="2954" spans="2:2">
      <c r="B2954" s="3"/>
    </row>
    <row r="2955" spans="2:2">
      <c r="B2955" s="3"/>
    </row>
    <row r="2956" spans="2:2">
      <c r="B2956" s="3"/>
    </row>
    <row r="2957" spans="2:2">
      <c r="B2957" s="3"/>
    </row>
    <row r="2958" spans="2:2">
      <c r="B2958" s="3"/>
    </row>
    <row r="2959" spans="2:2">
      <c r="B2959" s="3"/>
    </row>
    <row r="2960" spans="2:2">
      <c r="B2960" s="3"/>
    </row>
    <row r="2961" spans="2:2">
      <c r="B2961" s="3"/>
    </row>
    <row r="2962" spans="2:2">
      <c r="B2962" s="3"/>
    </row>
    <row r="2963" spans="2:2">
      <c r="B2963" s="3"/>
    </row>
    <row r="2964" spans="2:2">
      <c r="B2964" s="3"/>
    </row>
    <row r="2965" spans="2:2">
      <c r="B2965" s="3"/>
    </row>
    <row r="2966" spans="2:2">
      <c r="B2966" s="3"/>
    </row>
    <row r="2967" spans="2:2">
      <c r="B2967" s="3"/>
    </row>
    <row r="2968" spans="2:2">
      <c r="B2968" s="3"/>
    </row>
    <row r="2969" spans="2:2">
      <c r="B2969" s="3"/>
    </row>
    <row r="2970" spans="2:2">
      <c r="B2970" s="3"/>
    </row>
    <row r="2971" spans="2:2">
      <c r="B2971" s="3"/>
    </row>
    <row r="2972" spans="2:2">
      <c r="B2972" s="3"/>
    </row>
    <row r="2973" spans="2:2">
      <c r="B2973" s="3"/>
    </row>
    <row r="2974" spans="2:2">
      <c r="B2974" s="3"/>
    </row>
    <row r="2975" spans="2:2">
      <c r="B2975" s="3"/>
    </row>
    <row r="2976" spans="2:2">
      <c r="B2976" s="3"/>
    </row>
    <row r="2977" spans="2:2">
      <c r="B2977" s="3"/>
    </row>
    <row r="2978" spans="2:2">
      <c r="B2978" s="3"/>
    </row>
    <row r="2979" spans="2:2">
      <c r="B2979" s="3"/>
    </row>
    <row r="2980" spans="2:2">
      <c r="B2980" s="3"/>
    </row>
    <row r="2981" spans="2:2">
      <c r="B2981" s="3"/>
    </row>
    <row r="2982" spans="2:2">
      <c r="B2982" s="3"/>
    </row>
    <row r="2983" spans="2:2">
      <c r="B2983" s="3"/>
    </row>
    <row r="2984" spans="2:2">
      <c r="B2984" s="3"/>
    </row>
    <row r="2985" spans="2:2">
      <c r="B2985" s="3"/>
    </row>
    <row r="2986" spans="2:2">
      <c r="B2986" s="3"/>
    </row>
    <row r="2987" spans="2:2">
      <c r="B2987" s="3"/>
    </row>
    <row r="2988" spans="2:2">
      <c r="B2988" s="3"/>
    </row>
    <row r="2989" spans="2:2">
      <c r="B2989" s="3"/>
    </row>
    <row r="2990" spans="2:2">
      <c r="B2990" s="3"/>
    </row>
    <row r="2991" spans="2:2">
      <c r="B2991" s="3"/>
    </row>
    <row r="2992" spans="2:2">
      <c r="B2992" s="3"/>
    </row>
    <row r="2993" spans="2:2">
      <c r="B2993" s="3"/>
    </row>
    <row r="2994" spans="2:2">
      <c r="B2994" s="3"/>
    </row>
    <row r="2995" spans="2:2">
      <c r="B2995" s="3"/>
    </row>
    <row r="2996" spans="2:2">
      <c r="B2996" s="3"/>
    </row>
    <row r="2997" spans="2:2">
      <c r="B2997" s="3"/>
    </row>
    <row r="2998" spans="2:2">
      <c r="B2998" s="3"/>
    </row>
    <row r="2999" spans="2:2">
      <c r="B2999" s="3"/>
    </row>
    <row r="3000" spans="2:2">
      <c r="B3000" s="3"/>
    </row>
    <row r="3001" spans="2:2">
      <c r="B3001" s="3"/>
    </row>
    <row r="3002" spans="2:2">
      <c r="B3002" s="3"/>
    </row>
    <row r="3003" spans="2:2">
      <c r="B3003" s="3"/>
    </row>
    <row r="3004" spans="2:2">
      <c r="B3004" s="3"/>
    </row>
    <row r="3005" spans="2:2">
      <c r="B3005" s="3"/>
    </row>
    <row r="3006" spans="2:2">
      <c r="B3006" s="3"/>
    </row>
    <row r="3007" spans="2:2">
      <c r="B3007" s="3"/>
    </row>
    <row r="3008" spans="2:2">
      <c r="B3008" s="3"/>
    </row>
    <row r="3009" spans="2:2">
      <c r="B3009" s="3"/>
    </row>
    <row r="3010" spans="2:2">
      <c r="B3010" s="3"/>
    </row>
    <row r="3011" spans="2:2">
      <c r="B3011" s="3"/>
    </row>
    <row r="3012" spans="2:2">
      <c r="B3012" s="3"/>
    </row>
    <row r="3013" spans="2:2">
      <c r="B3013" s="3"/>
    </row>
    <row r="3014" spans="2:2">
      <c r="B3014" s="3"/>
    </row>
    <row r="3015" spans="2:2">
      <c r="B3015" s="3"/>
    </row>
    <row r="3016" spans="2:2">
      <c r="B3016" s="3"/>
    </row>
    <row r="3017" spans="2:2">
      <c r="B3017" s="3"/>
    </row>
    <row r="3018" spans="2:2">
      <c r="B3018" s="3"/>
    </row>
    <row r="3019" spans="2:2">
      <c r="B3019" s="3"/>
    </row>
    <row r="3020" spans="2:2">
      <c r="B3020" s="3"/>
    </row>
    <row r="3021" spans="2:2">
      <c r="B3021" s="3"/>
    </row>
    <row r="3022" spans="2:2">
      <c r="B3022" s="3"/>
    </row>
    <row r="3023" spans="2:2">
      <c r="B3023" s="3"/>
    </row>
    <row r="3024" spans="2:2">
      <c r="B3024" s="3"/>
    </row>
    <row r="3025" spans="2:2">
      <c r="B3025" s="3"/>
    </row>
    <row r="3026" spans="2:2">
      <c r="B3026" s="3"/>
    </row>
    <row r="3027" spans="2:2">
      <c r="B3027" s="3"/>
    </row>
    <row r="3028" spans="2:2">
      <c r="B3028" s="3"/>
    </row>
    <row r="3029" spans="2:2">
      <c r="B3029" s="3"/>
    </row>
    <row r="3030" spans="2:2">
      <c r="B3030" s="3"/>
    </row>
    <row r="3031" spans="2:2">
      <c r="B3031" s="3"/>
    </row>
    <row r="3032" spans="2:2">
      <c r="B3032" s="3"/>
    </row>
    <row r="3033" spans="2:2">
      <c r="B3033" s="3"/>
    </row>
    <row r="3034" spans="2:2">
      <c r="B3034" s="3"/>
    </row>
    <row r="3035" spans="2:2">
      <c r="B3035" s="3"/>
    </row>
    <row r="3036" spans="2:2">
      <c r="B3036" s="3"/>
    </row>
    <row r="3037" spans="2:2">
      <c r="B3037" s="3"/>
    </row>
    <row r="3038" spans="2:2">
      <c r="B3038" s="3"/>
    </row>
    <row r="3039" spans="2:2">
      <c r="B3039" s="3"/>
    </row>
    <row r="3040" spans="2:2">
      <c r="B3040" s="3"/>
    </row>
    <row r="3041" spans="2:2">
      <c r="B3041" s="3"/>
    </row>
    <row r="3042" spans="2:2">
      <c r="B3042" s="3"/>
    </row>
    <row r="3043" spans="2:2">
      <c r="B3043" s="3"/>
    </row>
    <row r="3044" spans="2:2">
      <c r="B3044" s="3"/>
    </row>
    <row r="3045" spans="2:2">
      <c r="B3045" s="3"/>
    </row>
    <row r="3046" spans="2:2">
      <c r="B3046" s="3"/>
    </row>
    <row r="3047" spans="2:2">
      <c r="B3047" s="3"/>
    </row>
    <row r="3048" spans="2:2">
      <c r="B3048" s="3"/>
    </row>
    <row r="3049" spans="2:2">
      <c r="B3049" s="3"/>
    </row>
    <row r="3050" spans="2:2">
      <c r="B3050" s="3"/>
    </row>
    <row r="3051" spans="2:2">
      <c r="B3051" s="3"/>
    </row>
    <row r="3052" spans="2:2">
      <c r="B3052" s="3"/>
    </row>
    <row r="3053" spans="2:2">
      <c r="B3053" s="3"/>
    </row>
    <row r="3054" spans="2:2">
      <c r="B3054" s="3"/>
    </row>
    <row r="3055" spans="2:2">
      <c r="B3055" s="3"/>
    </row>
    <row r="3056" spans="2:2">
      <c r="B3056" s="3"/>
    </row>
    <row r="3057" spans="2:2">
      <c r="B3057" s="3"/>
    </row>
    <row r="3058" spans="2:2">
      <c r="B3058" s="3"/>
    </row>
    <row r="3059" spans="2:2">
      <c r="B3059" s="3"/>
    </row>
    <row r="3060" spans="2:2">
      <c r="B3060" s="3"/>
    </row>
    <row r="3061" spans="2:2">
      <c r="B3061" s="3"/>
    </row>
    <row r="3062" spans="2:2">
      <c r="B3062" s="3"/>
    </row>
    <row r="3063" spans="2:2">
      <c r="B3063" s="3"/>
    </row>
    <row r="3064" spans="2:2">
      <c r="B3064" s="3"/>
    </row>
    <row r="3065" spans="2:2">
      <c r="B3065" s="3"/>
    </row>
    <row r="3066" spans="2:2">
      <c r="B3066" s="3"/>
    </row>
    <row r="3067" spans="2:2">
      <c r="B3067" s="3"/>
    </row>
    <row r="3068" spans="2:2">
      <c r="B3068" s="3"/>
    </row>
    <row r="3069" spans="2:2">
      <c r="B3069" s="3"/>
    </row>
    <row r="3070" spans="2:2">
      <c r="B3070" s="3"/>
    </row>
    <row r="3071" spans="2:2">
      <c r="B3071" s="3"/>
    </row>
    <row r="3072" spans="2:2">
      <c r="B3072" s="3"/>
    </row>
    <row r="3073" spans="2:2">
      <c r="B3073" s="3"/>
    </row>
    <row r="3074" spans="2:2">
      <c r="B3074" s="3"/>
    </row>
    <row r="3075" spans="2:2">
      <c r="B3075" s="3"/>
    </row>
    <row r="3076" spans="2:2">
      <c r="B3076" s="3"/>
    </row>
    <row r="3077" spans="2:2">
      <c r="B3077" s="3"/>
    </row>
    <row r="3078" spans="2:2">
      <c r="B3078" s="3"/>
    </row>
    <row r="3079" spans="2:2">
      <c r="B3079" s="3"/>
    </row>
    <row r="3080" spans="2:2">
      <c r="B3080" s="3"/>
    </row>
    <row r="3081" spans="2:2">
      <c r="B3081" s="3"/>
    </row>
    <row r="3082" spans="2:2">
      <c r="B3082" s="3"/>
    </row>
    <row r="3083" spans="2:2">
      <c r="B3083" s="3"/>
    </row>
    <row r="3084" spans="2:2">
      <c r="B3084" s="3"/>
    </row>
    <row r="3085" spans="2:2">
      <c r="B3085" s="3"/>
    </row>
    <row r="3086" spans="2:2">
      <c r="B3086" s="3"/>
    </row>
    <row r="3087" spans="2:2">
      <c r="B3087" s="3"/>
    </row>
    <row r="3088" spans="2:2">
      <c r="B3088" s="3"/>
    </row>
    <row r="3089" spans="2:2">
      <c r="B3089" s="3"/>
    </row>
    <row r="3090" spans="2:2">
      <c r="B3090" s="3"/>
    </row>
    <row r="3091" spans="2:2">
      <c r="B3091" s="3"/>
    </row>
    <row r="3092" spans="2:2">
      <c r="B3092" s="3"/>
    </row>
    <row r="3093" spans="2:2">
      <c r="B3093" s="3"/>
    </row>
    <row r="3094" spans="2:2">
      <c r="B3094" s="3"/>
    </row>
    <row r="3095" spans="2:2">
      <c r="B3095" s="3"/>
    </row>
    <row r="3096" spans="2:2">
      <c r="B3096" s="3"/>
    </row>
    <row r="3097" spans="2:2">
      <c r="B3097" s="3"/>
    </row>
    <row r="3098" spans="2:2">
      <c r="B3098" s="3"/>
    </row>
    <row r="3099" spans="2:2">
      <c r="B3099" s="3"/>
    </row>
    <row r="3100" spans="2:2">
      <c r="B3100" s="3"/>
    </row>
    <row r="3101" spans="2:2">
      <c r="B3101" s="3"/>
    </row>
    <row r="3102" spans="2:2">
      <c r="B3102" s="3"/>
    </row>
    <row r="3103" spans="2:2">
      <c r="B3103" s="3"/>
    </row>
    <row r="3104" spans="2:2">
      <c r="B3104" s="3"/>
    </row>
    <row r="3105" spans="2:2">
      <c r="B3105" s="3"/>
    </row>
    <row r="3106" spans="2:2">
      <c r="B3106" s="3"/>
    </row>
    <row r="3107" spans="2:2">
      <c r="B3107" s="3"/>
    </row>
    <row r="3108" spans="2:2">
      <c r="B3108" s="3"/>
    </row>
    <row r="3109" spans="2:2">
      <c r="B3109" s="3"/>
    </row>
    <row r="3110" spans="2:2">
      <c r="B3110" s="3"/>
    </row>
    <row r="3111" spans="2:2">
      <c r="B3111" s="3"/>
    </row>
    <row r="3112" spans="2:2">
      <c r="B3112" s="3"/>
    </row>
    <row r="3113" spans="2:2">
      <c r="B3113" s="3"/>
    </row>
    <row r="3114" spans="2:2">
      <c r="B3114" s="3"/>
    </row>
    <row r="3115" spans="2:2">
      <c r="B3115" s="3"/>
    </row>
    <row r="3116" spans="2:2">
      <c r="B3116" s="3"/>
    </row>
    <row r="3117" spans="2:2">
      <c r="B3117" s="3"/>
    </row>
    <row r="3118" spans="2:2">
      <c r="B3118" s="3"/>
    </row>
    <row r="3119" spans="2:2">
      <c r="B3119" s="3"/>
    </row>
    <row r="3120" spans="2:2">
      <c r="B3120" s="3"/>
    </row>
    <row r="3121" spans="2:2">
      <c r="B3121" s="3"/>
    </row>
    <row r="3122" spans="2:2">
      <c r="B3122" s="3"/>
    </row>
    <row r="3123" spans="2:2">
      <c r="B3123" s="3"/>
    </row>
    <row r="3124" spans="2:2">
      <c r="B3124" s="3"/>
    </row>
    <row r="3125" spans="2:2">
      <c r="B3125" s="3"/>
    </row>
    <row r="3126" spans="2:2">
      <c r="B3126" s="3"/>
    </row>
    <row r="3127" spans="2:2">
      <c r="B3127" s="3"/>
    </row>
    <row r="3128" spans="2:2">
      <c r="B3128" s="3"/>
    </row>
    <row r="3129" spans="2:2">
      <c r="B3129" s="3"/>
    </row>
    <row r="3130" spans="2:2">
      <c r="B3130" s="3"/>
    </row>
    <row r="3131" spans="2:2">
      <c r="B3131" s="3"/>
    </row>
    <row r="3132" spans="2:2">
      <c r="B3132" s="3"/>
    </row>
    <row r="3133" spans="2:2">
      <c r="B3133" s="3"/>
    </row>
    <row r="3134" spans="2:2">
      <c r="B3134" s="3"/>
    </row>
    <row r="3135" spans="2:2">
      <c r="B3135" s="3"/>
    </row>
    <row r="3136" spans="2:2">
      <c r="B3136" s="3"/>
    </row>
    <row r="3137" spans="2:2">
      <c r="B3137" s="3"/>
    </row>
    <row r="3138" spans="2:2">
      <c r="B3138" s="3"/>
    </row>
    <row r="3139" spans="2:2">
      <c r="B3139" s="3"/>
    </row>
    <row r="3140" spans="2:2">
      <c r="B3140" s="3"/>
    </row>
    <row r="3141" spans="2:2">
      <c r="B3141" s="3"/>
    </row>
    <row r="3142" spans="2:2">
      <c r="B3142" s="3"/>
    </row>
    <row r="3143" spans="2:2">
      <c r="B3143" s="3"/>
    </row>
    <row r="3144" spans="2:2">
      <c r="B3144" s="3"/>
    </row>
    <row r="3145" spans="2:2">
      <c r="B3145" s="3"/>
    </row>
    <row r="3146" spans="2:2">
      <c r="B3146" s="3"/>
    </row>
    <row r="3147" spans="2:2">
      <c r="B3147" s="3"/>
    </row>
    <row r="3148" spans="2:2">
      <c r="B3148" s="3"/>
    </row>
    <row r="3149" spans="2:2">
      <c r="B3149" s="3"/>
    </row>
    <row r="3150" spans="2:2">
      <c r="B3150" s="3"/>
    </row>
    <row r="3151" spans="2:2">
      <c r="B3151" s="3"/>
    </row>
    <row r="3152" spans="2:2">
      <c r="B3152" s="3"/>
    </row>
    <row r="3153" spans="2:2">
      <c r="B3153" s="3"/>
    </row>
    <row r="3154" spans="2:2">
      <c r="B3154" s="3"/>
    </row>
    <row r="3155" spans="2:2">
      <c r="B3155" s="3"/>
    </row>
    <row r="3156" spans="2:2">
      <c r="B3156" s="3"/>
    </row>
    <row r="3157" spans="2:2">
      <c r="B3157" s="3"/>
    </row>
    <row r="3158" spans="2:2">
      <c r="B3158" s="3"/>
    </row>
    <row r="3159" spans="2:2">
      <c r="B3159" s="3"/>
    </row>
    <row r="3160" spans="2:2">
      <c r="B3160" s="3"/>
    </row>
    <row r="3161" spans="2:2">
      <c r="B3161" s="3"/>
    </row>
    <row r="3162" spans="2:2">
      <c r="B3162" s="3"/>
    </row>
    <row r="3163" spans="2:2">
      <c r="B3163" s="3"/>
    </row>
    <row r="3164" spans="2:2">
      <c r="B3164" s="3"/>
    </row>
    <row r="3165" spans="2:2">
      <c r="B3165" s="3"/>
    </row>
    <row r="3166" spans="2:2">
      <c r="B3166" s="3"/>
    </row>
    <row r="3167" spans="2:2">
      <c r="B3167" s="3"/>
    </row>
    <row r="3168" spans="2:2">
      <c r="B3168" s="3"/>
    </row>
    <row r="3169" spans="2:2">
      <c r="B3169" s="3"/>
    </row>
    <row r="3170" spans="2:2">
      <c r="B3170" s="3"/>
    </row>
    <row r="3171" spans="2:2">
      <c r="B3171" s="3"/>
    </row>
    <row r="3172" spans="2:2">
      <c r="B3172" s="3"/>
    </row>
    <row r="3173" spans="2:2">
      <c r="B3173" s="3"/>
    </row>
    <row r="3174" spans="2:2">
      <c r="B3174" s="3"/>
    </row>
    <row r="3175" spans="2:2">
      <c r="B3175" s="3"/>
    </row>
    <row r="3176" spans="2:2">
      <c r="B3176" s="3"/>
    </row>
    <row r="3177" spans="2:2">
      <c r="B3177" s="3"/>
    </row>
    <row r="3178" spans="2:2">
      <c r="B3178" s="3"/>
    </row>
    <row r="3179" spans="2:2">
      <c r="B3179" s="3"/>
    </row>
    <row r="3180" spans="2:2">
      <c r="B3180" s="3"/>
    </row>
    <row r="3181" spans="2:2">
      <c r="B3181" s="3"/>
    </row>
    <row r="3182" spans="2:2">
      <c r="B3182" s="3"/>
    </row>
    <row r="3183" spans="2:2">
      <c r="B3183" s="3"/>
    </row>
    <row r="3184" spans="2:2">
      <c r="B3184" s="3"/>
    </row>
    <row r="3185" spans="2:2">
      <c r="B3185" s="3"/>
    </row>
    <row r="3186" spans="2:2">
      <c r="B3186" s="3"/>
    </row>
    <row r="3187" spans="2:2">
      <c r="B3187" s="3"/>
    </row>
    <row r="3188" spans="2:2">
      <c r="B3188" s="3"/>
    </row>
    <row r="3189" spans="2:2">
      <c r="B3189" s="3"/>
    </row>
    <row r="3190" spans="2:2">
      <c r="B3190" s="3"/>
    </row>
    <row r="3191" spans="2:2">
      <c r="B3191" s="3"/>
    </row>
    <row r="3192" spans="2:2">
      <c r="B3192" s="3"/>
    </row>
    <row r="3193" spans="2:2">
      <c r="B3193" s="3"/>
    </row>
    <row r="3194" spans="2:2">
      <c r="B3194" s="3"/>
    </row>
    <row r="3195" spans="2:2">
      <c r="B3195" s="3"/>
    </row>
    <row r="3196" spans="2:2">
      <c r="B3196" s="3"/>
    </row>
    <row r="3197" spans="2:2">
      <c r="B3197" s="3"/>
    </row>
    <row r="3198" spans="2:2">
      <c r="B3198" s="3"/>
    </row>
    <row r="3199" spans="2:2">
      <c r="B3199" s="3"/>
    </row>
    <row r="3200" spans="2:2">
      <c r="B3200" s="3"/>
    </row>
    <row r="3201" spans="2:2">
      <c r="B3201" s="3"/>
    </row>
    <row r="3202" spans="2:2">
      <c r="B3202" s="3"/>
    </row>
    <row r="3203" spans="2:2">
      <c r="B3203" s="3"/>
    </row>
    <row r="3204" spans="2:2">
      <c r="B3204" s="3"/>
    </row>
    <row r="3205" spans="2:2">
      <c r="B3205" s="3"/>
    </row>
    <row r="3206" spans="2:2">
      <c r="B3206" s="3"/>
    </row>
    <row r="3207" spans="2:2">
      <c r="B3207" s="3"/>
    </row>
    <row r="3208" spans="2:2">
      <c r="B3208" s="3"/>
    </row>
    <row r="3209" spans="2:2">
      <c r="B3209" s="3"/>
    </row>
    <row r="3210" spans="2:2">
      <c r="B3210" s="3"/>
    </row>
    <row r="3211" spans="2:2">
      <c r="B3211" s="3"/>
    </row>
    <row r="3212" spans="2:2">
      <c r="B3212" s="3"/>
    </row>
    <row r="3213" spans="2:2">
      <c r="B3213" s="3"/>
    </row>
    <row r="3214" spans="2:2">
      <c r="B3214" s="3"/>
    </row>
    <row r="3215" spans="2:2">
      <c r="B3215" s="3"/>
    </row>
    <row r="3216" spans="2:2">
      <c r="B3216" s="3"/>
    </row>
    <row r="3217" spans="2:2">
      <c r="B3217" s="3"/>
    </row>
    <row r="3218" spans="2:2">
      <c r="B3218" s="3"/>
    </row>
    <row r="3219" spans="2:2">
      <c r="B3219" s="3"/>
    </row>
    <row r="3220" spans="2:2">
      <c r="B3220" s="3"/>
    </row>
    <row r="3221" spans="2:2">
      <c r="B3221" s="3"/>
    </row>
    <row r="3222" spans="2:2">
      <c r="B3222" s="3"/>
    </row>
    <row r="3223" spans="2:2">
      <c r="B3223" s="3"/>
    </row>
    <row r="3224" spans="2:2">
      <c r="B3224" s="3"/>
    </row>
    <row r="3225" spans="2:2">
      <c r="B3225" s="3"/>
    </row>
    <row r="3226" spans="2:2">
      <c r="B3226" s="3"/>
    </row>
    <row r="3227" spans="2:2">
      <c r="B3227" s="3"/>
    </row>
    <row r="3228" spans="2:2">
      <c r="B3228" s="3"/>
    </row>
    <row r="3229" spans="2:2">
      <c r="B3229" s="3"/>
    </row>
    <row r="3230" spans="2:2">
      <c r="B3230" s="3"/>
    </row>
    <row r="3231" spans="2:2">
      <c r="B3231" s="3"/>
    </row>
    <row r="3232" spans="2:2">
      <c r="B3232" s="3"/>
    </row>
    <row r="3233" spans="2:2">
      <c r="B3233" s="3"/>
    </row>
    <row r="3234" spans="2:2">
      <c r="B3234" s="3"/>
    </row>
    <row r="3235" spans="2:2">
      <c r="B3235" s="3"/>
    </row>
    <row r="3236" spans="2:2">
      <c r="B3236" s="3"/>
    </row>
    <row r="3237" spans="2:2">
      <c r="B3237" s="3"/>
    </row>
    <row r="3238" spans="2:2">
      <c r="B3238" s="3"/>
    </row>
    <row r="3239" spans="2:2">
      <c r="B3239" s="3"/>
    </row>
    <row r="3240" spans="2:2">
      <c r="B3240" s="3"/>
    </row>
    <row r="3241" spans="2:2">
      <c r="B3241" s="3"/>
    </row>
    <row r="3242" spans="2:2">
      <c r="B3242" s="3"/>
    </row>
    <row r="3243" spans="2:2">
      <c r="B3243" s="3"/>
    </row>
    <row r="3244" spans="2:2">
      <c r="B3244" s="3"/>
    </row>
    <row r="3245" spans="2:2">
      <c r="B3245" s="3"/>
    </row>
    <row r="3246" spans="2:2">
      <c r="B3246" s="3"/>
    </row>
    <row r="3247" spans="2:2">
      <c r="B3247" s="3"/>
    </row>
    <row r="3248" spans="2:2">
      <c r="B3248" s="3"/>
    </row>
    <row r="3249" spans="2:2">
      <c r="B3249" s="3"/>
    </row>
    <row r="3250" spans="2:2">
      <c r="B3250" s="3"/>
    </row>
    <row r="3251" spans="2:2">
      <c r="B3251" s="3"/>
    </row>
    <row r="3252" spans="2:2">
      <c r="B3252" s="3"/>
    </row>
    <row r="3253" spans="2:2">
      <c r="B3253" s="3"/>
    </row>
    <row r="3254" spans="2:2">
      <c r="B3254" s="3"/>
    </row>
    <row r="3255" spans="2:2">
      <c r="B3255" s="3"/>
    </row>
    <row r="3256" spans="2:2">
      <c r="B3256" s="3"/>
    </row>
    <row r="3257" spans="2:2">
      <c r="B3257" s="3"/>
    </row>
    <row r="3258" spans="2:2">
      <c r="B3258" s="3"/>
    </row>
    <row r="3259" spans="2:2">
      <c r="B3259" s="3"/>
    </row>
    <row r="3260" spans="2:2">
      <c r="B3260" s="3"/>
    </row>
    <row r="3261" spans="2:2">
      <c r="B3261" s="3"/>
    </row>
    <row r="3262" spans="2:2">
      <c r="B3262" s="3"/>
    </row>
    <row r="3263" spans="2:2">
      <c r="B3263" s="3"/>
    </row>
    <row r="3264" spans="2:2">
      <c r="B3264" s="3"/>
    </row>
    <row r="3265" spans="2:2">
      <c r="B3265" s="3"/>
    </row>
    <row r="3266" spans="2:2">
      <c r="B3266" s="3"/>
    </row>
    <row r="3267" spans="2:2">
      <c r="B3267" s="3"/>
    </row>
    <row r="3268" spans="2:2">
      <c r="B3268" s="3"/>
    </row>
    <row r="3269" spans="2:2">
      <c r="B3269" s="3"/>
    </row>
    <row r="3270" spans="2:2">
      <c r="B3270" s="3"/>
    </row>
    <row r="3271" spans="2:2">
      <c r="B3271" s="3"/>
    </row>
    <row r="3272" spans="2:2">
      <c r="B3272" s="3"/>
    </row>
    <row r="3273" spans="2:2">
      <c r="B3273" s="3"/>
    </row>
    <row r="3274" spans="2:2">
      <c r="B3274" s="3"/>
    </row>
    <row r="3275" spans="2:2">
      <c r="B3275" s="3"/>
    </row>
    <row r="3276" spans="2:2">
      <c r="B3276" s="3"/>
    </row>
    <row r="3277" spans="2:2">
      <c r="B3277" s="3"/>
    </row>
    <row r="3278" spans="2:2">
      <c r="B3278" s="3"/>
    </row>
    <row r="3279" spans="2:2">
      <c r="B3279" s="3"/>
    </row>
    <row r="3280" spans="2:2">
      <c r="B3280" s="3"/>
    </row>
    <row r="3281" spans="2:2">
      <c r="B3281" s="3"/>
    </row>
    <row r="3282" spans="2:2">
      <c r="B3282" s="3"/>
    </row>
    <row r="3283" spans="2:2">
      <c r="B3283" s="3"/>
    </row>
    <row r="3284" spans="2:2">
      <c r="B3284" s="3"/>
    </row>
    <row r="3285" spans="2:2">
      <c r="B3285" s="3"/>
    </row>
    <row r="3286" spans="2:2">
      <c r="B3286" s="3"/>
    </row>
    <row r="3287" spans="2:2">
      <c r="B3287" s="3"/>
    </row>
    <row r="3288" spans="2:2">
      <c r="B3288" s="3"/>
    </row>
    <row r="3289" spans="2:2">
      <c r="B3289" s="3"/>
    </row>
    <row r="3290" spans="2:2">
      <c r="B3290" s="3"/>
    </row>
    <row r="3291" spans="2:2">
      <c r="B3291" s="3"/>
    </row>
    <row r="3292" spans="2:2">
      <c r="B3292" s="3"/>
    </row>
    <row r="3293" spans="2:2">
      <c r="B3293" s="3"/>
    </row>
    <row r="3294" spans="2:2">
      <c r="B3294" s="3"/>
    </row>
    <row r="3295" spans="2:2">
      <c r="B3295" s="3"/>
    </row>
    <row r="3296" spans="2:2">
      <c r="B3296" s="3"/>
    </row>
    <row r="3297" spans="2:2">
      <c r="B3297" s="3"/>
    </row>
    <row r="3298" spans="2:2">
      <c r="B3298" s="3"/>
    </row>
    <row r="3299" spans="2:2">
      <c r="B3299" s="3"/>
    </row>
    <row r="3300" spans="2:2">
      <c r="B3300" s="3"/>
    </row>
    <row r="3301" spans="2:2">
      <c r="B3301" s="3"/>
    </row>
    <row r="3302" spans="2:2">
      <c r="B3302" s="3"/>
    </row>
    <row r="3303" spans="2:2">
      <c r="B3303" s="3"/>
    </row>
    <row r="3304" spans="2:2">
      <c r="B3304" s="3"/>
    </row>
    <row r="3305" spans="2:2">
      <c r="B3305" s="3"/>
    </row>
    <row r="3306" spans="2:2">
      <c r="B3306" s="3"/>
    </row>
    <row r="3307" spans="2:2">
      <c r="B3307" s="3"/>
    </row>
    <row r="3308" spans="2:2">
      <c r="B3308" s="3"/>
    </row>
    <row r="3309" spans="2:2">
      <c r="B3309" s="3"/>
    </row>
    <row r="3310" spans="2:2">
      <c r="B3310" s="3"/>
    </row>
    <row r="3311" spans="2:2">
      <c r="B3311" s="3"/>
    </row>
    <row r="3312" spans="2:2">
      <c r="B3312" s="3"/>
    </row>
    <row r="3313" spans="2:2">
      <c r="B3313" s="3"/>
    </row>
    <row r="3314" spans="2:2">
      <c r="B3314" s="3"/>
    </row>
    <row r="3315" spans="2:2">
      <c r="B3315" s="3"/>
    </row>
    <row r="3316" spans="2:2">
      <c r="B3316" s="3"/>
    </row>
    <row r="3317" spans="2:2">
      <c r="B3317" s="3"/>
    </row>
    <row r="3318" spans="2:2">
      <c r="B3318" s="3"/>
    </row>
    <row r="3319" spans="2:2">
      <c r="B3319" s="3"/>
    </row>
    <row r="3320" spans="2:2">
      <c r="B3320" s="3"/>
    </row>
    <row r="3321" spans="2:2">
      <c r="B3321" s="3"/>
    </row>
    <row r="3322" spans="2:2">
      <c r="B3322" s="3"/>
    </row>
    <row r="3323" spans="2:2">
      <c r="B3323" s="3"/>
    </row>
    <row r="3324" spans="2:2">
      <c r="B3324" s="3"/>
    </row>
    <row r="3325" spans="2:2">
      <c r="B3325" s="3"/>
    </row>
    <row r="3326" spans="2:2">
      <c r="B3326" s="3"/>
    </row>
    <row r="3327" spans="2:2">
      <c r="B3327" s="3"/>
    </row>
    <row r="3328" spans="2:2">
      <c r="B3328" s="3"/>
    </row>
    <row r="3329" spans="2:2">
      <c r="B3329" s="3"/>
    </row>
    <row r="3330" spans="2:2">
      <c r="B3330" s="3"/>
    </row>
    <row r="3331" spans="2:2">
      <c r="B3331" s="3"/>
    </row>
    <row r="3332" spans="2:2">
      <c r="B3332" s="3"/>
    </row>
    <row r="3333" spans="2:2">
      <c r="B3333" s="3"/>
    </row>
    <row r="3334" spans="2:2">
      <c r="B3334" s="3"/>
    </row>
    <row r="3335" spans="2:2">
      <c r="B3335" s="3"/>
    </row>
    <row r="3336" spans="2:2">
      <c r="B3336" s="3"/>
    </row>
    <row r="3337" spans="2:2">
      <c r="B3337" s="3"/>
    </row>
    <row r="3338" spans="2:2">
      <c r="B3338" s="3"/>
    </row>
    <row r="3339" spans="2:2">
      <c r="B3339" s="3"/>
    </row>
    <row r="3340" spans="2:2">
      <c r="B3340" s="3"/>
    </row>
    <row r="3341" spans="2:2">
      <c r="B3341" s="3"/>
    </row>
    <row r="3342" spans="2:2">
      <c r="B3342" s="3"/>
    </row>
    <row r="3343" spans="2:2">
      <c r="B3343" s="3"/>
    </row>
    <row r="3344" spans="2:2">
      <c r="B3344" s="3"/>
    </row>
    <row r="3345" spans="2:2">
      <c r="B3345" s="3"/>
    </row>
    <row r="3346" spans="2:2">
      <c r="B3346" s="3"/>
    </row>
    <row r="3347" spans="2:2">
      <c r="B3347" s="3"/>
    </row>
    <row r="3348" spans="2:2">
      <c r="B3348" s="3"/>
    </row>
    <row r="3349" spans="2:2">
      <c r="B3349" s="3"/>
    </row>
    <row r="3350" spans="2:2">
      <c r="B3350" s="3"/>
    </row>
    <row r="3351" spans="2:2">
      <c r="B3351" s="3"/>
    </row>
    <row r="3352" spans="2:2">
      <c r="B3352" s="3"/>
    </row>
    <row r="3353" spans="2:2">
      <c r="B3353" s="3"/>
    </row>
    <row r="3354" spans="2:2">
      <c r="B3354" s="3"/>
    </row>
    <row r="3355" spans="2:2">
      <c r="B3355" s="3"/>
    </row>
    <row r="3356" spans="2:2">
      <c r="B3356" s="3"/>
    </row>
    <row r="3357" spans="2:2">
      <c r="B3357" s="3"/>
    </row>
    <row r="3358" spans="2:2">
      <c r="B3358" s="3"/>
    </row>
    <row r="3359" spans="2:2">
      <c r="B3359" s="3"/>
    </row>
    <row r="3360" spans="2:2">
      <c r="B3360" s="3"/>
    </row>
    <row r="3361" spans="2:2">
      <c r="B3361" s="3"/>
    </row>
    <row r="3362" spans="2:2">
      <c r="B3362" s="3"/>
    </row>
    <row r="3363" spans="2:2">
      <c r="B3363" s="3"/>
    </row>
    <row r="3364" spans="2:2">
      <c r="B3364" s="3"/>
    </row>
    <row r="3365" spans="2:2">
      <c r="B3365" s="3"/>
    </row>
    <row r="3366" spans="2:2">
      <c r="B3366" s="3"/>
    </row>
    <row r="3367" spans="2:2">
      <c r="B3367" s="3"/>
    </row>
    <row r="3368" spans="2:2">
      <c r="B3368" s="3"/>
    </row>
    <row r="3369" spans="2:2">
      <c r="B3369" s="3"/>
    </row>
    <row r="3370" spans="2:2">
      <c r="B3370" s="3"/>
    </row>
    <row r="3371" spans="2:2">
      <c r="B3371" s="3"/>
    </row>
    <row r="3372" spans="2:2">
      <c r="B3372" s="3"/>
    </row>
    <row r="3373" spans="2:2">
      <c r="B3373" s="3"/>
    </row>
    <row r="3374" spans="2:2">
      <c r="B3374" s="3"/>
    </row>
    <row r="3375" spans="2:2">
      <c r="B3375" s="3"/>
    </row>
    <row r="3376" spans="2:2">
      <c r="B3376" s="3"/>
    </row>
    <row r="3377" spans="2:2">
      <c r="B3377" s="3"/>
    </row>
    <row r="3378" spans="2:2">
      <c r="B3378" s="3"/>
    </row>
    <row r="3379" spans="2:2">
      <c r="B3379" s="3"/>
    </row>
    <row r="3380" spans="2:2">
      <c r="B3380" s="3"/>
    </row>
    <row r="3381" spans="2:2">
      <c r="B3381" s="3"/>
    </row>
    <row r="3382" spans="2:2">
      <c r="B3382" s="3"/>
    </row>
    <row r="3383" spans="2:2">
      <c r="B3383" s="3"/>
    </row>
    <row r="3384" spans="2:2">
      <c r="B3384" s="3"/>
    </row>
    <row r="3385" spans="2:2">
      <c r="B3385" s="3"/>
    </row>
    <row r="3386" spans="2:2">
      <c r="B3386" s="3"/>
    </row>
    <row r="3387" spans="2:2">
      <c r="B3387" s="3"/>
    </row>
    <row r="3388" spans="2:2">
      <c r="B3388" s="3"/>
    </row>
    <row r="3389" spans="2:2">
      <c r="B3389" s="3"/>
    </row>
    <row r="3390" spans="2:2">
      <c r="B3390" s="3"/>
    </row>
    <row r="3391" spans="2:2">
      <c r="B3391" s="3"/>
    </row>
    <row r="3392" spans="2:2">
      <c r="B3392" s="3"/>
    </row>
    <row r="3393" spans="2:2">
      <c r="B3393" s="3"/>
    </row>
    <row r="3394" spans="2:2">
      <c r="B3394" s="3"/>
    </row>
    <row r="3395" spans="2:2">
      <c r="B3395" s="3"/>
    </row>
    <row r="3396" spans="2:2">
      <c r="B3396" s="3"/>
    </row>
    <row r="3397" spans="2:2">
      <c r="B3397" s="3"/>
    </row>
    <row r="3398" spans="2:2">
      <c r="B3398" s="3"/>
    </row>
    <row r="3399" spans="2:2">
      <c r="B3399" s="3"/>
    </row>
    <row r="3400" spans="2:2">
      <c r="B3400" s="3"/>
    </row>
    <row r="3401" spans="2:2">
      <c r="B3401" s="3"/>
    </row>
    <row r="3402" spans="2:2">
      <c r="B3402" s="3"/>
    </row>
    <row r="3403" spans="2:2">
      <c r="B3403" s="3"/>
    </row>
    <row r="3404" spans="2:2">
      <c r="B3404" s="3"/>
    </row>
    <row r="3405" spans="2:2">
      <c r="B3405" s="3"/>
    </row>
    <row r="3406" spans="2:2">
      <c r="B3406" s="3"/>
    </row>
    <row r="3407" spans="2:2">
      <c r="B3407" s="3"/>
    </row>
    <row r="3408" spans="2:2">
      <c r="B3408" s="3"/>
    </row>
    <row r="3409" spans="2:2">
      <c r="B3409" s="3"/>
    </row>
    <row r="3410" spans="2:2">
      <c r="B3410" s="3"/>
    </row>
    <row r="3411" spans="2:2">
      <c r="B3411" s="3"/>
    </row>
    <row r="3412" spans="2:2">
      <c r="B3412" s="3"/>
    </row>
    <row r="3413" spans="2:2">
      <c r="B3413" s="3"/>
    </row>
    <row r="3414" spans="2:2">
      <c r="B3414" s="3"/>
    </row>
    <row r="3415" spans="2:2">
      <c r="B3415" s="3"/>
    </row>
    <row r="3416" spans="2:2">
      <c r="B3416" s="3"/>
    </row>
    <row r="3417" spans="2:2">
      <c r="B3417" s="3"/>
    </row>
    <row r="3418" spans="2:2">
      <c r="B3418" s="3"/>
    </row>
    <row r="3419" spans="2:2">
      <c r="B3419" s="3"/>
    </row>
    <row r="3420" spans="2:2">
      <c r="B3420" s="3"/>
    </row>
    <row r="3421" spans="2:2">
      <c r="B3421" s="3"/>
    </row>
    <row r="3422" spans="2:2">
      <c r="B3422" s="3"/>
    </row>
    <row r="3423" spans="2:2">
      <c r="B3423" s="3"/>
    </row>
    <row r="3424" spans="2:2">
      <c r="B3424" s="3"/>
    </row>
    <row r="3425" spans="2:2">
      <c r="B3425" s="3"/>
    </row>
    <row r="3426" spans="2:2">
      <c r="B3426" s="3"/>
    </row>
    <row r="3427" spans="2:2">
      <c r="B3427" s="3"/>
    </row>
    <row r="3428" spans="2:2">
      <c r="B3428" s="3"/>
    </row>
    <row r="3429" spans="2:2">
      <c r="B3429" s="3"/>
    </row>
    <row r="3430" spans="2:2">
      <c r="B3430" s="3"/>
    </row>
    <row r="3431" spans="2:2">
      <c r="B3431" s="3"/>
    </row>
    <row r="3432" spans="2:2">
      <c r="B3432" s="3"/>
    </row>
    <row r="3433" spans="2:2">
      <c r="B3433" s="3"/>
    </row>
    <row r="3434" spans="2:2">
      <c r="B3434" s="3"/>
    </row>
    <row r="3435" spans="2:2">
      <c r="B3435" s="3"/>
    </row>
    <row r="3436" spans="2:2">
      <c r="B3436" s="3"/>
    </row>
    <row r="3437" spans="2:2">
      <c r="B3437" s="3"/>
    </row>
    <row r="3438" spans="2:2">
      <c r="B3438" s="3"/>
    </row>
    <row r="3439" spans="2:2">
      <c r="B3439" s="3"/>
    </row>
    <row r="3440" spans="2:2">
      <c r="B3440" s="3"/>
    </row>
    <row r="3441" spans="2:2">
      <c r="B3441" s="3"/>
    </row>
    <row r="3442" spans="2:2">
      <c r="B3442" s="3"/>
    </row>
    <row r="3443" spans="2:2">
      <c r="B3443" s="3"/>
    </row>
    <row r="3444" spans="2:2">
      <c r="B3444" s="3"/>
    </row>
    <row r="3445" spans="2:2">
      <c r="B3445" s="3"/>
    </row>
    <row r="3446" spans="2:2">
      <c r="B3446" s="3"/>
    </row>
    <row r="3447" spans="2:2">
      <c r="B3447" s="3"/>
    </row>
    <row r="3448" spans="2:2">
      <c r="B3448" s="3"/>
    </row>
    <row r="3449" spans="2:2">
      <c r="B3449" s="3"/>
    </row>
    <row r="3450" spans="2:2">
      <c r="B3450" s="3"/>
    </row>
    <row r="3451" spans="2:2">
      <c r="B3451" s="3"/>
    </row>
    <row r="3452" spans="2:2">
      <c r="B3452" s="3"/>
    </row>
    <row r="3453" spans="2:2">
      <c r="B3453" s="3"/>
    </row>
    <row r="3454" spans="2:2">
      <c r="B3454" s="3"/>
    </row>
    <row r="3455" spans="2:2">
      <c r="B3455" s="3"/>
    </row>
    <row r="3456" spans="2:2">
      <c r="B3456" s="3"/>
    </row>
    <row r="3457" spans="2:2">
      <c r="B3457" s="3"/>
    </row>
    <row r="3458" spans="2:2">
      <c r="B3458" s="3"/>
    </row>
    <row r="3459" spans="2:2">
      <c r="B3459" s="3"/>
    </row>
    <row r="3460" spans="2:2">
      <c r="B3460" s="3"/>
    </row>
    <row r="3461" spans="2:2">
      <c r="B3461" s="3"/>
    </row>
    <row r="3462" spans="2:2">
      <c r="B3462" s="3"/>
    </row>
    <row r="3463" spans="2:2">
      <c r="B3463" s="3"/>
    </row>
    <row r="3464" spans="2:2">
      <c r="B3464" s="3"/>
    </row>
    <row r="3465" spans="2:2">
      <c r="B3465" s="3"/>
    </row>
    <row r="3466" spans="2:2">
      <c r="B3466" s="3"/>
    </row>
    <row r="3467" spans="2:2">
      <c r="B3467" s="3"/>
    </row>
    <row r="3468" spans="2:2">
      <c r="B3468" s="3"/>
    </row>
    <row r="3469" spans="2:2">
      <c r="B3469" s="3"/>
    </row>
    <row r="3470" spans="2:2">
      <c r="B3470" s="3"/>
    </row>
    <row r="3471" spans="2:2">
      <c r="B3471" s="3"/>
    </row>
    <row r="3472" spans="2:2">
      <c r="B3472" s="3"/>
    </row>
    <row r="3473" spans="2:2">
      <c r="B3473" s="3"/>
    </row>
    <row r="3474" spans="2:2">
      <c r="B3474" s="3"/>
    </row>
    <row r="3475" spans="2:2">
      <c r="B3475" s="3"/>
    </row>
    <row r="3476" spans="2:2">
      <c r="B3476" s="3"/>
    </row>
    <row r="3477" spans="2:2">
      <c r="B3477" s="3"/>
    </row>
    <row r="3478" spans="2:2">
      <c r="B3478" s="3"/>
    </row>
    <row r="3479" spans="2:2">
      <c r="B3479" s="3"/>
    </row>
    <row r="3480" spans="2:2">
      <c r="B3480" s="3"/>
    </row>
    <row r="3481" spans="2:2">
      <c r="B3481" s="3"/>
    </row>
    <row r="3482" spans="2:2">
      <c r="B3482" s="3"/>
    </row>
    <row r="3483" spans="2:2">
      <c r="B3483" s="3"/>
    </row>
    <row r="3484" spans="2:2">
      <c r="B3484" s="3"/>
    </row>
    <row r="3485" spans="2:2">
      <c r="B3485" s="3"/>
    </row>
    <row r="3486" spans="2:2">
      <c r="B3486" s="3"/>
    </row>
    <row r="3487" spans="2:2">
      <c r="B3487" s="3"/>
    </row>
    <row r="3488" spans="2:2">
      <c r="B3488" s="3"/>
    </row>
    <row r="3489" spans="2:2">
      <c r="B3489" s="3"/>
    </row>
    <row r="3490" spans="2:2">
      <c r="B3490" s="3"/>
    </row>
    <row r="3491" spans="2:2">
      <c r="B3491" s="3"/>
    </row>
    <row r="3492" spans="2:2">
      <c r="B3492" s="3"/>
    </row>
    <row r="3493" spans="2:2">
      <c r="B3493" s="3"/>
    </row>
    <row r="3494" spans="2:2">
      <c r="B3494" s="3"/>
    </row>
    <row r="3495" spans="2:2">
      <c r="B3495" s="3"/>
    </row>
    <row r="3496" spans="2:2">
      <c r="B3496" s="3"/>
    </row>
    <row r="3497" spans="2:2">
      <c r="B3497" s="3"/>
    </row>
    <row r="3498" spans="2:2">
      <c r="B3498" s="3"/>
    </row>
    <row r="3499" spans="2:2">
      <c r="B3499" s="3"/>
    </row>
    <row r="3500" spans="2:2">
      <c r="B3500" s="3"/>
    </row>
    <row r="3501" spans="2:2">
      <c r="B3501" s="3"/>
    </row>
    <row r="3502" spans="2:2">
      <c r="B3502" s="3"/>
    </row>
    <row r="3503" spans="2:2">
      <c r="B3503" s="3"/>
    </row>
    <row r="3504" spans="2:2">
      <c r="B3504" s="3"/>
    </row>
    <row r="3505" spans="2:2">
      <c r="B3505" s="3"/>
    </row>
    <row r="3506" spans="2:2">
      <c r="B3506" s="3"/>
    </row>
    <row r="3507" spans="2:2">
      <c r="B3507" s="3"/>
    </row>
    <row r="3508" spans="2:2">
      <c r="B3508" s="3"/>
    </row>
    <row r="3509" spans="2:2">
      <c r="B3509" s="3"/>
    </row>
    <row r="3510" spans="2:2">
      <c r="B3510" s="3"/>
    </row>
    <row r="3511" spans="2:2">
      <c r="B3511" s="3"/>
    </row>
    <row r="3512" spans="2:2">
      <c r="B3512" s="3"/>
    </row>
    <row r="3513" spans="2:2">
      <c r="B3513" s="3"/>
    </row>
    <row r="3514" spans="2:2">
      <c r="B3514" s="3"/>
    </row>
    <row r="3515" spans="2:2">
      <c r="B3515" s="3"/>
    </row>
    <row r="3516" spans="2:2">
      <c r="B3516" s="3"/>
    </row>
    <row r="3517" spans="2:2">
      <c r="B3517" s="3"/>
    </row>
    <row r="3518" spans="2:2">
      <c r="B3518" s="3"/>
    </row>
    <row r="3519" spans="2:2">
      <c r="B3519" s="3"/>
    </row>
    <row r="3520" spans="2:2">
      <c r="B3520" s="3"/>
    </row>
    <row r="3521" spans="2:2">
      <c r="B3521" s="3"/>
    </row>
    <row r="3522" spans="2:2">
      <c r="B3522" s="3"/>
    </row>
    <row r="3523" spans="2:2">
      <c r="B3523" s="3"/>
    </row>
    <row r="3524" spans="2:2">
      <c r="B3524" s="3"/>
    </row>
    <row r="3525" spans="2:2">
      <c r="B3525" s="3"/>
    </row>
    <row r="3526" spans="2:2">
      <c r="B3526" s="3"/>
    </row>
    <row r="3527" spans="2:2">
      <c r="B3527" s="3"/>
    </row>
    <row r="3528" spans="2:2">
      <c r="B3528" s="3"/>
    </row>
    <row r="3529" spans="2:2">
      <c r="B3529" s="3"/>
    </row>
    <row r="3530" spans="2:2">
      <c r="B3530" s="3"/>
    </row>
    <row r="3531" spans="2:2">
      <c r="B3531" s="3"/>
    </row>
    <row r="3532" spans="2:2">
      <c r="B3532" s="3"/>
    </row>
    <row r="3533" spans="2:2">
      <c r="B3533" s="3"/>
    </row>
    <row r="3534" spans="2:2">
      <c r="B3534" s="3"/>
    </row>
    <row r="3535" spans="2:2">
      <c r="B3535" s="3"/>
    </row>
    <row r="3536" spans="2:2">
      <c r="B3536" s="3"/>
    </row>
    <row r="3537" spans="2:2">
      <c r="B3537" s="3"/>
    </row>
    <row r="3538" spans="2:2">
      <c r="B3538" s="3"/>
    </row>
    <row r="3539" spans="2:2">
      <c r="B3539" s="3"/>
    </row>
    <row r="3540" spans="2:2">
      <c r="B3540" s="3"/>
    </row>
    <row r="3541" spans="2:2">
      <c r="B3541" s="3"/>
    </row>
    <row r="3542" spans="2:2">
      <c r="B3542" s="3"/>
    </row>
    <row r="3543" spans="2:2">
      <c r="B3543" s="3"/>
    </row>
    <row r="3544" spans="2:2">
      <c r="B3544" s="3"/>
    </row>
    <row r="3545" spans="2:2">
      <c r="B3545" s="3"/>
    </row>
    <row r="3546" spans="2:2">
      <c r="B3546" s="3"/>
    </row>
    <row r="3547" spans="2:2">
      <c r="B3547" s="3"/>
    </row>
    <row r="3548" spans="2:2">
      <c r="B3548" s="3"/>
    </row>
    <row r="3549" spans="2:2">
      <c r="B3549" s="3"/>
    </row>
    <row r="3550" spans="2:2">
      <c r="B3550" s="3"/>
    </row>
    <row r="3551" spans="2:2">
      <c r="B3551" s="3"/>
    </row>
    <row r="3552" spans="2:2">
      <c r="B3552" s="3"/>
    </row>
    <row r="3553" spans="2:2">
      <c r="B3553" s="3"/>
    </row>
    <row r="3554" spans="2:2">
      <c r="B3554" s="3"/>
    </row>
    <row r="3555" spans="2:2">
      <c r="B3555" s="3"/>
    </row>
    <row r="3556" spans="2:2">
      <c r="B3556" s="3"/>
    </row>
    <row r="3557" spans="2:2">
      <c r="B3557" s="3"/>
    </row>
    <row r="3558" spans="2:2">
      <c r="B3558" s="3"/>
    </row>
    <row r="3559" spans="2:2">
      <c r="B3559" s="3"/>
    </row>
    <row r="3560" spans="2:2">
      <c r="B3560" s="3"/>
    </row>
    <row r="3561" spans="2:2">
      <c r="B3561" s="3"/>
    </row>
    <row r="3562" spans="2:2">
      <c r="B3562" s="3"/>
    </row>
    <row r="3563" spans="2:2">
      <c r="B3563" s="3"/>
    </row>
    <row r="3564" spans="2:2">
      <c r="B3564" s="3"/>
    </row>
    <row r="3565" spans="2:2">
      <c r="B3565" s="3"/>
    </row>
    <row r="3566" spans="2:2">
      <c r="B3566" s="3"/>
    </row>
    <row r="3567" spans="2:2">
      <c r="B3567" s="3"/>
    </row>
    <row r="3568" spans="2:2">
      <c r="B3568" s="3"/>
    </row>
    <row r="3569" spans="2:2">
      <c r="B3569" s="3"/>
    </row>
    <row r="3570" spans="2:2">
      <c r="B3570" s="3"/>
    </row>
    <row r="3571" spans="2:2">
      <c r="B3571" s="3"/>
    </row>
    <row r="3572" spans="2:2">
      <c r="B3572" s="3"/>
    </row>
    <row r="3573" spans="2:2">
      <c r="B3573" s="3"/>
    </row>
    <row r="3574" spans="2:2">
      <c r="B3574" s="3"/>
    </row>
    <row r="3575" spans="2:2">
      <c r="B3575" s="3"/>
    </row>
    <row r="3576" spans="2:2">
      <c r="B3576" s="3"/>
    </row>
    <row r="3577" spans="2:2">
      <c r="B3577" s="3"/>
    </row>
    <row r="3578" spans="2:2">
      <c r="B3578" s="3"/>
    </row>
    <row r="3579" spans="2:2">
      <c r="B3579" s="3"/>
    </row>
    <row r="3580" spans="2:2">
      <c r="B3580" s="3"/>
    </row>
    <row r="3581" spans="2:2">
      <c r="B3581" s="3"/>
    </row>
    <row r="3582" spans="2:2">
      <c r="B3582" s="3"/>
    </row>
    <row r="3583" spans="2:2">
      <c r="B3583" s="3"/>
    </row>
    <row r="3584" spans="2:2">
      <c r="B3584" s="3"/>
    </row>
    <row r="3585" spans="2:2">
      <c r="B3585" s="3"/>
    </row>
    <row r="3586" spans="2:2">
      <c r="B3586" s="3"/>
    </row>
    <row r="3587" spans="2:2">
      <c r="B3587" s="3"/>
    </row>
    <row r="3588" spans="2:2">
      <c r="B3588" s="3"/>
    </row>
    <row r="3589" spans="2:2">
      <c r="B3589" s="3"/>
    </row>
    <row r="3590" spans="2:2">
      <c r="B3590" s="3"/>
    </row>
    <row r="3591" spans="2:2">
      <c r="B3591" s="3"/>
    </row>
    <row r="3592" spans="2:2">
      <c r="B3592" s="3"/>
    </row>
    <row r="3593" spans="2:2">
      <c r="B3593" s="3"/>
    </row>
    <row r="3594" spans="2:2">
      <c r="B3594" s="3"/>
    </row>
    <row r="3595" spans="2:2">
      <c r="B3595" s="3"/>
    </row>
    <row r="3596" spans="2:2">
      <c r="B3596" s="3"/>
    </row>
    <row r="3597" spans="2:2">
      <c r="B3597" s="3"/>
    </row>
    <row r="3598" spans="2:2">
      <c r="B3598" s="3"/>
    </row>
    <row r="3599" spans="2:2">
      <c r="B3599" s="3"/>
    </row>
    <row r="3600" spans="2:2">
      <c r="B3600" s="3"/>
    </row>
    <row r="3601" spans="2:2">
      <c r="B3601" s="3"/>
    </row>
    <row r="3602" spans="2:2">
      <c r="B3602" s="3"/>
    </row>
    <row r="3603" spans="2:2">
      <c r="B3603" s="3"/>
    </row>
    <row r="3604" spans="2:2">
      <c r="B3604" s="3"/>
    </row>
    <row r="3605" spans="2:2">
      <c r="B3605" s="3"/>
    </row>
    <row r="3606" spans="2:2">
      <c r="B3606" s="3"/>
    </row>
    <row r="3607" spans="2:2">
      <c r="B3607" s="3"/>
    </row>
    <row r="3608" spans="2:2">
      <c r="B3608" s="3"/>
    </row>
    <row r="3609" spans="2:2">
      <c r="B3609" s="3"/>
    </row>
    <row r="3610" spans="2:2">
      <c r="B3610" s="3"/>
    </row>
    <row r="3611" spans="2:2">
      <c r="B3611" s="3"/>
    </row>
    <row r="3612" spans="2:2">
      <c r="B3612" s="3"/>
    </row>
    <row r="3613" spans="2:2">
      <c r="B3613" s="3"/>
    </row>
    <row r="3614" spans="2:2">
      <c r="B3614" s="3"/>
    </row>
    <row r="3615" spans="2:2">
      <c r="B3615" s="3"/>
    </row>
    <row r="3616" spans="2:2">
      <c r="B3616" s="3"/>
    </row>
    <row r="3617" spans="2:2">
      <c r="B3617" s="3"/>
    </row>
    <row r="3618" spans="2:2">
      <c r="B3618" s="3"/>
    </row>
    <row r="3619" spans="2:2">
      <c r="B3619" s="3"/>
    </row>
    <row r="3620" spans="2:2">
      <c r="B3620" s="3"/>
    </row>
    <row r="3621" spans="2:2">
      <c r="B3621" s="3"/>
    </row>
    <row r="3622" spans="2:2">
      <c r="B3622" s="3"/>
    </row>
    <row r="3623" spans="2:2">
      <c r="B3623" s="3"/>
    </row>
    <row r="3624" spans="2:2">
      <c r="B3624" s="3"/>
    </row>
    <row r="3625" spans="2:2">
      <c r="B3625" s="3"/>
    </row>
    <row r="3626" spans="2:2">
      <c r="B3626" s="3"/>
    </row>
    <row r="3627" spans="2:2">
      <c r="B3627" s="3"/>
    </row>
    <row r="3628" spans="2:2">
      <c r="B3628" s="3"/>
    </row>
    <row r="3629" spans="2:2">
      <c r="B3629" s="3"/>
    </row>
    <row r="3630" spans="2:2">
      <c r="B3630" s="3"/>
    </row>
    <row r="3631" spans="2:2">
      <c r="B3631" s="3"/>
    </row>
    <row r="3632" spans="2:2">
      <c r="B3632" s="3"/>
    </row>
    <row r="3633" spans="2:2">
      <c r="B3633" s="3"/>
    </row>
    <row r="3634" spans="2:2">
      <c r="B3634" s="3"/>
    </row>
    <row r="3635" spans="2:2">
      <c r="B3635" s="3"/>
    </row>
    <row r="3636" spans="2:2">
      <c r="B3636" s="3"/>
    </row>
    <row r="3637" spans="2:2">
      <c r="B3637" s="3"/>
    </row>
    <row r="3638" spans="2:2">
      <c r="B3638" s="3"/>
    </row>
    <row r="3639" spans="2:2">
      <c r="B3639" s="3"/>
    </row>
    <row r="3640" spans="2:2">
      <c r="B3640" s="3"/>
    </row>
    <row r="3641" spans="2:2">
      <c r="B3641" s="3"/>
    </row>
    <row r="3642" spans="2:2">
      <c r="B3642" s="3"/>
    </row>
    <row r="3643" spans="2:2">
      <c r="B3643" s="3"/>
    </row>
    <row r="3644" spans="2:2">
      <c r="B3644" s="3"/>
    </row>
    <row r="3645" spans="2:2">
      <c r="B3645" s="3"/>
    </row>
    <row r="3646" spans="2:2">
      <c r="B3646" s="3"/>
    </row>
    <row r="3647" spans="2:2">
      <c r="B3647" s="3"/>
    </row>
    <row r="3648" spans="2:2">
      <c r="B3648" s="3"/>
    </row>
    <row r="3649" spans="2:2">
      <c r="B3649" s="3"/>
    </row>
    <row r="3650" spans="2:2">
      <c r="B3650" s="3"/>
    </row>
    <row r="3651" spans="2:2">
      <c r="B3651" s="3"/>
    </row>
    <row r="3652" spans="2:2">
      <c r="B3652" s="3"/>
    </row>
    <row r="3653" spans="2:2">
      <c r="B3653" s="3"/>
    </row>
    <row r="3654" spans="2:2">
      <c r="B3654" s="3"/>
    </row>
    <row r="3655" spans="2:2">
      <c r="B3655" s="3"/>
    </row>
    <row r="3656" spans="2:2">
      <c r="B3656" s="3"/>
    </row>
    <row r="3657" spans="2:2">
      <c r="B3657" s="3"/>
    </row>
    <row r="3658" spans="2:2">
      <c r="B3658" s="3"/>
    </row>
    <row r="3659" spans="2:2">
      <c r="B3659" s="3"/>
    </row>
    <row r="3660" spans="2:2">
      <c r="B3660" s="3"/>
    </row>
    <row r="3661" spans="2:2">
      <c r="B3661" s="3"/>
    </row>
    <row r="3662" spans="2:2">
      <c r="B3662" s="3"/>
    </row>
    <row r="3663" spans="2:2">
      <c r="B3663" s="3"/>
    </row>
    <row r="3664" spans="2:2">
      <c r="B3664" s="3"/>
    </row>
    <row r="3665" spans="2:2">
      <c r="B3665" s="3"/>
    </row>
    <row r="3666" spans="2:2">
      <c r="B3666" s="3"/>
    </row>
    <row r="3667" spans="2:2">
      <c r="B3667" s="3"/>
    </row>
    <row r="3668" spans="2:2">
      <c r="B3668" s="3"/>
    </row>
    <row r="3669" spans="2:2">
      <c r="B3669" s="3"/>
    </row>
    <row r="3670" spans="2:2">
      <c r="B3670" s="3"/>
    </row>
    <row r="3671" spans="2:2">
      <c r="B3671" s="3"/>
    </row>
    <row r="3672" spans="2:2">
      <c r="B3672" s="3"/>
    </row>
    <row r="3673" spans="2:2">
      <c r="B3673" s="3"/>
    </row>
    <row r="3674" spans="2:2">
      <c r="B3674" s="3"/>
    </row>
    <row r="3675" spans="2:2">
      <c r="B3675" s="3"/>
    </row>
    <row r="3676" spans="2:2">
      <c r="B3676" s="3"/>
    </row>
    <row r="3677" spans="2:2">
      <c r="B3677" s="3"/>
    </row>
    <row r="3678" spans="2:2">
      <c r="B3678" s="3"/>
    </row>
    <row r="3679" spans="2:2">
      <c r="B3679" s="3"/>
    </row>
    <row r="3680" spans="2:2">
      <c r="B3680" s="3"/>
    </row>
    <row r="3681" spans="2:2">
      <c r="B3681" s="3"/>
    </row>
    <row r="3682" spans="2:2">
      <c r="B3682" s="3"/>
    </row>
    <row r="3683" spans="2:2">
      <c r="B3683" s="3"/>
    </row>
    <row r="3684" spans="2:2">
      <c r="B3684" s="3"/>
    </row>
    <row r="3685" spans="2:2">
      <c r="B3685" s="3"/>
    </row>
    <row r="3686" spans="2:2">
      <c r="B3686" s="3"/>
    </row>
    <row r="3687" spans="2:2">
      <c r="B3687" s="3"/>
    </row>
    <row r="3688" spans="2:2">
      <c r="B3688" s="3"/>
    </row>
    <row r="3689" spans="2:2">
      <c r="B3689" s="3"/>
    </row>
    <row r="3690" spans="2:2">
      <c r="B3690" s="3"/>
    </row>
    <row r="3691" spans="2:2">
      <c r="B3691" s="3"/>
    </row>
    <row r="3692" spans="2:2">
      <c r="B3692" s="3"/>
    </row>
    <row r="3693" spans="2:2">
      <c r="B3693" s="3"/>
    </row>
    <row r="3694" spans="2:2">
      <c r="B3694" s="3"/>
    </row>
    <row r="3695" spans="2:2">
      <c r="B3695" s="3"/>
    </row>
    <row r="3696" spans="2:2">
      <c r="B3696" s="3"/>
    </row>
    <row r="3697" spans="2:2">
      <c r="B3697" s="3"/>
    </row>
    <row r="3698" spans="2:2">
      <c r="B3698" s="3"/>
    </row>
    <row r="3699" spans="2:2">
      <c r="B3699" s="3"/>
    </row>
    <row r="3700" spans="2:2">
      <c r="B3700" s="3"/>
    </row>
    <row r="3701" spans="2:2">
      <c r="B3701" s="3"/>
    </row>
    <row r="3702" spans="2:2">
      <c r="B3702" s="3"/>
    </row>
    <row r="3703" spans="2:2">
      <c r="B3703" s="3"/>
    </row>
    <row r="3704" spans="2:2">
      <c r="B3704" s="3"/>
    </row>
    <row r="3705" spans="2:2">
      <c r="B3705" s="3"/>
    </row>
    <row r="3706" spans="2:2">
      <c r="B3706" s="3"/>
    </row>
    <row r="3707" spans="2:2">
      <c r="B3707" s="3"/>
    </row>
    <row r="3708" spans="2:2">
      <c r="B3708" s="3"/>
    </row>
    <row r="3709" spans="2:2">
      <c r="B3709" s="3"/>
    </row>
    <row r="3710" spans="2:2">
      <c r="B3710" s="3"/>
    </row>
    <row r="3711" spans="2:2">
      <c r="B3711" s="3"/>
    </row>
    <row r="3712" spans="2:2">
      <c r="B3712" s="3"/>
    </row>
    <row r="3713" spans="2:2">
      <c r="B3713" s="3"/>
    </row>
    <row r="3714" spans="2:2">
      <c r="B3714" s="3"/>
    </row>
    <row r="3715" spans="2:2">
      <c r="B3715" s="3"/>
    </row>
    <row r="3716" spans="2:2">
      <c r="B3716" s="3"/>
    </row>
    <row r="3717" spans="2:2">
      <c r="B3717" s="3"/>
    </row>
    <row r="3718" spans="2:2">
      <c r="B3718" s="3"/>
    </row>
    <row r="3719" spans="2:2">
      <c r="B3719" s="3"/>
    </row>
    <row r="3720" spans="2:2">
      <c r="B3720" s="3"/>
    </row>
    <row r="3721" spans="2:2">
      <c r="B3721" s="3"/>
    </row>
    <row r="3722" spans="2:2">
      <c r="B3722" s="3"/>
    </row>
    <row r="3723" spans="2:2">
      <c r="B3723" s="3"/>
    </row>
    <row r="3724" spans="2:2">
      <c r="B3724" s="3"/>
    </row>
    <row r="3725" spans="2:2">
      <c r="B3725" s="3"/>
    </row>
    <row r="3726" spans="2:2">
      <c r="B3726" s="3"/>
    </row>
    <row r="3727" spans="2:2">
      <c r="B3727" s="3"/>
    </row>
    <row r="3728" spans="2:2">
      <c r="B3728" s="3"/>
    </row>
    <row r="3729" spans="2:2">
      <c r="B3729" s="3"/>
    </row>
    <row r="3730" spans="2:2">
      <c r="B3730" s="3"/>
    </row>
    <row r="3731" spans="2:2">
      <c r="B3731" s="3"/>
    </row>
    <row r="3732" spans="2:2">
      <c r="B3732" s="3"/>
    </row>
    <row r="3733" spans="2:2">
      <c r="B3733" s="3"/>
    </row>
    <row r="3734" spans="2:2">
      <c r="B3734" s="3"/>
    </row>
    <row r="3735" spans="2:2">
      <c r="B3735" s="3"/>
    </row>
    <row r="3736" spans="2:2">
      <c r="B3736" s="3"/>
    </row>
    <row r="3737" spans="2:2">
      <c r="B3737" s="3"/>
    </row>
    <row r="3738" spans="2:2">
      <c r="B3738" s="3"/>
    </row>
    <row r="3739" spans="2:2">
      <c r="B3739" s="3"/>
    </row>
    <row r="3740" spans="2:2">
      <c r="B3740" s="3"/>
    </row>
    <row r="3741" spans="2:2">
      <c r="B3741" s="3"/>
    </row>
    <row r="3742" spans="2:2">
      <c r="B3742" s="3"/>
    </row>
    <row r="3743" spans="2:2">
      <c r="B3743" s="3"/>
    </row>
    <row r="3744" spans="2:2">
      <c r="B3744" s="3"/>
    </row>
    <row r="3745" spans="2:2">
      <c r="B3745" s="3"/>
    </row>
    <row r="3746" spans="2:2">
      <c r="B3746" s="3"/>
    </row>
    <row r="3747" spans="2:2">
      <c r="B3747" s="3"/>
    </row>
    <row r="3748" spans="2:2">
      <c r="B3748" s="3"/>
    </row>
    <row r="3749" spans="2:2">
      <c r="B3749" s="3"/>
    </row>
    <row r="3750" spans="2:2">
      <c r="B3750" s="3"/>
    </row>
    <row r="3751" spans="2:2">
      <c r="B3751" s="3"/>
    </row>
    <row r="3752" spans="2:2">
      <c r="B3752" s="3"/>
    </row>
    <row r="3753" spans="2:2">
      <c r="B3753" s="3"/>
    </row>
    <row r="3754" spans="2:2">
      <c r="B3754" s="3"/>
    </row>
    <row r="3755" spans="2:2">
      <c r="B3755" s="3"/>
    </row>
    <row r="3756" spans="2:2">
      <c r="B3756" s="3"/>
    </row>
    <row r="3757" spans="2:2">
      <c r="B3757" s="3"/>
    </row>
    <row r="3758" spans="2:2">
      <c r="B3758" s="3"/>
    </row>
    <row r="3759" spans="2:2">
      <c r="B3759" s="3"/>
    </row>
    <row r="3760" spans="2:2">
      <c r="B3760" s="3"/>
    </row>
    <row r="3761" spans="2:2">
      <c r="B3761" s="3"/>
    </row>
    <row r="3762" spans="2:2">
      <c r="B3762" s="3"/>
    </row>
    <row r="3763" spans="2:2">
      <c r="B3763" s="3"/>
    </row>
    <row r="3764" spans="2:2">
      <c r="B3764" s="3"/>
    </row>
    <row r="3765" spans="2:2">
      <c r="B3765" s="3"/>
    </row>
    <row r="3766" spans="2:2">
      <c r="B3766" s="3"/>
    </row>
    <row r="3767" spans="2:2">
      <c r="B3767" s="3"/>
    </row>
    <row r="3768" spans="2:2">
      <c r="B3768" s="3"/>
    </row>
    <row r="3769" spans="2:2">
      <c r="B3769" s="3"/>
    </row>
    <row r="3770" spans="2:2">
      <c r="B3770" s="3"/>
    </row>
    <row r="3771" spans="2:2">
      <c r="B3771" s="3"/>
    </row>
    <row r="3772" spans="2:2">
      <c r="B3772" s="3"/>
    </row>
    <row r="3773" spans="2:2">
      <c r="B3773" s="3"/>
    </row>
    <row r="3774" spans="2:2">
      <c r="B3774" s="3"/>
    </row>
    <row r="3775" spans="2:2">
      <c r="B3775" s="3"/>
    </row>
    <row r="3776" spans="2:2">
      <c r="B3776" s="3"/>
    </row>
    <row r="3777" spans="2:2">
      <c r="B3777" s="3"/>
    </row>
    <row r="3778" spans="2:2">
      <c r="B3778" s="3"/>
    </row>
    <row r="3779" spans="2:2">
      <c r="B3779" s="3"/>
    </row>
    <row r="3780" spans="2:2">
      <c r="B3780" s="3"/>
    </row>
    <row r="3781" spans="2:2">
      <c r="B3781" s="3"/>
    </row>
    <row r="3782" spans="2:2">
      <c r="B3782" s="3"/>
    </row>
    <row r="3783" spans="2:2">
      <c r="B3783" s="3"/>
    </row>
    <row r="3784" spans="2:2">
      <c r="B3784" s="3"/>
    </row>
    <row r="3785" spans="2:2">
      <c r="B3785" s="3"/>
    </row>
    <row r="3786" spans="2:2">
      <c r="B3786" s="3"/>
    </row>
    <row r="3787" spans="2:2">
      <c r="B3787" s="3"/>
    </row>
    <row r="3788" spans="2:2">
      <c r="B3788" s="3"/>
    </row>
    <row r="3789" spans="2:2">
      <c r="B3789" s="3"/>
    </row>
    <row r="3790" spans="2:2">
      <c r="B3790" s="3"/>
    </row>
    <row r="3791" spans="2:2">
      <c r="B3791" s="3"/>
    </row>
    <row r="3792" spans="2:2">
      <c r="B3792" s="3"/>
    </row>
    <row r="3793" spans="2:2">
      <c r="B3793" s="3"/>
    </row>
    <row r="3794" spans="2:2">
      <c r="B3794" s="3"/>
    </row>
    <row r="3795" spans="2:2">
      <c r="B3795" s="3"/>
    </row>
    <row r="3796" spans="2:2">
      <c r="B3796" s="3"/>
    </row>
    <row r="3797" spans="2:2">
      <c r="B3797" s="3"/>
    </row>
    <row r="3798" spans="2:2">
      <c r="B3798" s="3"/>
    </row>
    <row r="3799" spans="2:2">
      <c r="B3799" s="3"/>
    </row>
    <row r="3800" spans="2:2">
      <c r="B3800" s="3"/>
    </row>
    <row r="3801" spans="2:2">
      <c r="B3801" s="3"/>
    </row>
    <row r="3802" spans="2:2">
      <c r="B3802" s="3"/>
    </row>
    <row r="3803" spans="2:2">
      <c r="B3803" s="3"/>
    </row>
    <row r="3804" spans="2:2">
      <c r="B3804" s="3"/>
    </row>
    <row r="3805" spans="2:2">
      <c r="B3805" s="3"/>
    </row>
    <row r="3806" spans="2:2">
      <c r="B3806" s="3"/>
    </row>
    <row r="3807" spans="2:2">
      <c r="B3807" s="3"/>
    </row>
    <row r="3808" spans="2:2">
      <c r="B3808" s="3"/>
    </row>
    <row r="3809" spans="2:2">
      <c r="B3809" s="3"/>
    </row>
    <row r="3810" spans="2:2">
      <c r="B3810" s="3"/>
    </row>
    <row r="3811" spans="2:2">
      <c r="B3811" s="3"/>
    </row>
    <row r="3812" spans="2:2">
      <c r="B3812" s="3"/>
    </row>
    <row r="3813" spans="2:2">
      <c r="B3813" s="3"/>
    </row>
    <row r="3814" spans="2:2">
      <c r="B3814" s="3"/>
    </row>
    <row r="3815" spans="2:2">
      <c r="B3815" s="3"/>
    </row>
    <row r="3816" spans="2:2">
      <c r="B3816" s="3"/>
    </row>
    <row r="3817" spans="2:2">
      <c r="B3817" s="3"/>
    </row>
    <row r="3818" spans="2:2">
      <c r="B3818" s="3"/>
    </row>
    <row r="3819" spans="2:2">
      <c r="B3819" s="3"/>
    </row>
    <row r="3820" spans="2:2">
      <c r="B3820" s="3"/>
    </row>
    <row r="3821" spans="2:2">
      <c r="B3821" s="3"/>
    </row>
    <row r="3822" spans="2:2">
      <c r="B3822" s="3"/>
    </row>
    <row r="3823" spans="2:2">
      <c r="B3823" s="3"/>
    </row>
    <row r="3824" spans="2:2">
      <c r="B3824" s="3"/>
    </row>
    <row r="3825" spans="2:2">
      <c r="B3825" s="3"/>
    </row>
    <row r="3826" spans="2:2">
      <c r="B3826" s="3"/>
    </row>
    <row r="3827" spans="2:2">
      <c r="B3827" s="3"/>
    </row>
    <row r="3828" spans="2:2">
      <c r="B3828" s="3"/>
    </row>
    <row r="3829" spans="2:2">
      <c r="B3829" s="3"/>
    </row>
    <row r="3830" spans="2:2">
      <c r="B3830" s="3"/>
    </row>
    <row r="3831" spans="2:2">
      <c r="B3831" s="3"/>
    </row>
    <row r="3832" spans="2:2">
      <c r="B3832" s="3"/>
    </row>
    <row r="3833" spans="2:2">
      <c r="B3833" s="3"/>
    </row>
    <row r="3834" spans="2:2">
      <c r="B3834" s="3"/>
    </row>
    <row r="3835" spans="2:2">
      <c r="B3835" s="3"/>
    </row>
    <row r="3836" spans="2:2">
      <c r="B3836" s="3"/>
    </row>
    <row r="3837" spans="2:2">
      <c r="B3837" s="3"/>
    </row>
    <row r="3838" spans="2:2">
      <c r="B3838" s="3"/>
    </row>
    <row r="3839" spans="2:2">
      <c r="B3839" s="3"/>
    </row>
    <row r="3840" spans="2:2">
      <c r="B3840" s="3"/>
    </row>
    <row r="3841" spans="2:2">
      <c r="B3841" s="3"/>
    </row>
    <row r="3842" spans="2:2">
      <c r="B3842" s="3"/>
    </row>
    <row r="3843" spans="2:2">
      <c r="B3843" s="3"/>
    </row>
    <row r="3844" spans="2:2">
      <c r="B3844" s="3"/>
    </row>
    <row r="3845" spans="2:2">
      <c r="B3845" s="3"/>
    </row>
    <row r="3846" spans="2:2">
      <c r="B3846" s="3"/>
    </row>
    <row r="3847" spans="2:2">
      <c r="B3847" s="3"/>
    </row>
    <row r="3848" spans="2:2">
      <c r="B3848" s="3"/>
    </row>
    <row r="3849" spans="2:2">
      <c r="B3849" s="3"/>
    </row>
    <row r="3850" spans="2:2">
      <c r="B3850" s="3"/>
    </row>
    <row r="3851" spans="2:2">
      <c r="B385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1:Q124"/>
  <sheetViews>
    <sheetView topLeftCell="F1" zoomScale="85" zoomScaleNormal="85" workbookViewId="0">
      <selection activeCell="Q2" sqref="Q2"/>
    </sheetView>
  </sheetViews>
  <sheetFormatPr defaultRowHeight="14.25"/>
  <cols>
    <col min="2" max="2" width="10.1328125" bestFit="1" customWidth="1"/>
    <col min="3" max="3" width="14.06640625" customWidth="1"/>
    <col min="4" max="4" width="18.9296875" customWidth="1"/>
    <col min="5" max="5" width="10.73046875" bestFit="1" customWidth="1"/>
    <col min="6" max="6" width="21.3984375" customWidth="1"/>
    <col min="7" max="7" width="21.06640625" customWidth="1"/>
    <col min="8" max="8" width="21.3984375" bestFit="1" customWidth="1"/>
    <col min="9" max="9" width="10.1328125" bestFit="1" customWidth="1"/>
    <col min="10" max="10" width="10" bestFit="1" customWidth="1"/>
    <col min="11" max="11" width="9.86328125" bestFit="1" customWidth="1"/>
    <col min="12" max="12" width="16.73046875" customWidth="1"/>
    <col min="13" max="13" width="17.59765625" customWidth="1"/>
    <col min="14" max="14" width="27.73046875" bestFit="1" customWidth="1"/>
    <col min="15" max="15" width="28" bestFit="1" customWidth="1"/>
    <col min="16" max="16" width="13.86328125" customWidth="1"/>
    <col min="17" max="17" width="13.1328125" bestFit="1" customWidth="1"/>
  </cols>
  <sheetData>
    <row r="1" spans="2:17">
      <c r="B1" t="s">
        <v>76</v>
      </c>
      <c r="C1" t="s">
        <v>49</v>
      </c>
      <c r="D1" s="4" t="s">
        <v>41</v>
      </c>
      <c r="E1" t="s">
        <v>37</v>
      </c>
      <c r="F1" t="s">
        <v>48</v>
      </c>
      <c r="G1" t="s">
        <v>40</v>
      </c>
      <c r="H1" s="4" t="s">
        <v>67</v>
      </c>
      <c r="I1" s="3">
        <f ca="1">EDATE(TODAY(),9)</f>
        <v>46595</v>
      </c>
      <c r="J1" s="46">
        <v>0.13500000000000001</v>
      </c>
      <c r="L1" s="4"/>
      <c r="M1" s="4" t="s">
        <v>42</v>
      </c>
      <c r="N1" s="4" t="s">
        <v>43</v>
      </c>
      <c r="O1" s="4" t="s">
        <v>44</v>
      </c>
      <c r="P1" s="4" t="s">
        <v>40</v>
      </c>
      <c r="Q1" s="4" t="s">
        <v>67</v>
      </c>
    </row>
    <row r="2" spans="2:17">
      <c r="B2" s="3">
        <v>43916</v>
      </c>
      <c r="C2" s="9">
        <v>0</v>
      </c>
      <c r="D2" s="9">
        <v>0</v>
      </c>
      <c r="E2" s="1">
        <v>5.0000000000000044E-3</v>
      </c>
      <c r="F2" s="1">
        <v>6.5000000000000002E-2</v>
      </c>
      <c r="G2" s="8">
        <v>0.03</v>
      </c>
      <c r="H2" s="9">
        <v>0</v>
      </c>
      <c r="I2" s="1"/>
      <c r="J2" s="8"/>
      <c r="L2" s="9"/>
      <c r="M2" s="4">
        <v>1</v>
      </c>
      <c r="N2" s="306">
        <v>6.8000000000000005E-2</v>
      </c>
      <c r="O2" s="306">
        <f>MarketData!D34/100</f>
        <v>6.5000000000000002E-2</v>
      </c>
      <c r="P2" s="307">
        <v>0.03</v>
      </c>
      <c r="Q2" s="308">
        <v>5.6000000000000001E-2</v>
      </c>
    </row>
    <row r="3" spans="2:17">
      <c r="B3" s="3">
        <v>44007</v>
      </c>
      <c r="C3" s="9">
        <v>0</v>
      </c>
      <c r="D3" s="9">
        <v>0</v>
      </c>
      <c r="E3" s="1">
        <v>5.0000000000000044E-3</v>
      </c>
      <c r="F3" s="1">
        <v>6.5000000000000002E-2</v>
      </c>
      <c r="G3" s="8">
        <v>0.03</v>
      </c>
      <c r="H3" s="9">
        <v>0</v>
      </c>
      <c r="I3" s="1"/>
      <c r="J3" s="8"/>
    </row>
    <row r="4" spans="2:17">
      <c r="B4" s="30">
        <v>44042</v>
      </c>
      <c r="C4" s="9">
        <v>0</v>
      </c>
      <c r="D4" s="9">
        <v>0</v>
      </c>
      <c r="E4" s="1">
        <v>5.0000000000000044E-3</v>
      </c>
      <c r="F4" s="1">
        <v>6.5000000000000002E-2</v>
      </c>
      <c r="G4" s="8">
        <v>0.03</v>
      </c>
      <c r="H4" s="9">
        <v>0</v>
      </c>
      <c r="I4" s="1"/>
      <c r="J4" s="8"/>
    </row>
    <row r="5" spans="2:17">
      <c r="B5" s="30">
        <v>44070</v>
      </c>
      <c r="C5" s="9">
        <v>0</v>
      </c>
      <c r="D5" s="9">
        <v>0</v>
      </c>
      <c r="E5" s="1">
        <v>5.0000000000000044E-3</v>
      </c>
      <c r="F5" s="1">
        <v>6.5000000000000002E-2</v>
      </c>
      <c r="G5" s="8">
        <v>0.03</v>
      </c>
      <c r="H5" s="9">
        <v>1E-3</v>
      </c>
      <c r="I5" s="1"/>
      <c r="J5" s="8"/>
    </row>
    <row r="6" spans="2:17">
      <c r="B6" s="30">
        <v>44098</v>
      </c>
      <c r="C6" s="9">
        <v>0</v>
      </c>
      <c r="D6" s="9">
        <v>0</v>
      </c>
      <c r="E6" s="1">
        <v>5.0000000000000044E-3</v>
      </c>
      <c r="F6" s="1">
        <v>6.5000000000000002E-2</v>
      </c>
      <c r="G6" s="8">
        <v>0.03</v>
      </c>
      <c r="H6" s="9">
        <v>1E-3</v>
      </c>
      <c r="I6" s="1"/>
      <c r="J6" s="8"/>
      <c r="M6" s="1"/>
      <c r="N6" s="1"/>
    </row>
    <row r="7" spans="2:17">
      <c r="B7" s="30">
        <v>44133</v>
      </c>
      <c r="C7" s="9">
        <v>0</v>
      </c>
      <c r="D7" s="9">
        <v>0</v>
      </c>
      <c r="E7" s="1">
        <v>5.0000000000000044E-3</v>
      </c>
      <c r="F7" s="1">
        <v>6.5000000000000002E-2</v>
      </c>
      <c r="G7" s="8">
        <v>0.03</v>
      </c>
      <c r="H7" s="9">
        <v>6.0000000000000001E-3</v>
      </c>
      <c r="I7" s="1"/>
      <c r="J7" s="8"/>
    </row>
    <row r="8" spans="2:17">
      <c r="B8" s="30">
        <v>44160</v>
      </c>
      <c r="C8" s="9">
        <v>0</v>
      </c>
      <c r="D8" s="9">
        <v>0</v>
      </c>
      <c r="E8" s="1">
        <v>5.0000000000000044E-3</v>
      </c>
      <c r="F8" s="1">
        <v>6.5000000000000002E-2</v>
      </c>
      <c r="G8" s="8">
        <v>0.03</v>
      </c>
      <c r="H8" s="9">
        <v>6.0000000000000001E-3</v>
      </c>
      <c r="I8" s="1"/>
      <c r="J8" s="8"/>
    </row>
    <row r="9" spans="2:17">
      <c r="B9" s="3">
        <v>44196</v>
      </c>
      <c r="C9" s="9">
        <v>0</v>
      </c>
      <c r="D9" s="9">
        <v>0</v>
      </c>
      <c r="E9" s="1">
        <v>5.0000000000000044E-3</v>
      </c>
      <c r="F9" s="1">
        <v>6.5000000000000002E-2</v>
      </c>
      <c r="G9" s="8">
        <v>0.03</v>
      </c>
      <c r="H9" s="9">
        <v>8.5000000000000006E-3</v>
      </c>
      <c r="I9" s="1"/>
      <c r="J9" s="8"/>
    </row>
    <row r="10" spans="2:17">
      <c r="B10" s="30">
        <v>44224</v>
      </c>
      <c r="C10" s="9">
        <v>0</v>
      </c>
      <c r="D10" s="9">
        <v>0</v>
      </c>
      <c r="E10" s="1">
        <v>5.0000000000000044E-3</v>
      </c>
      <c r="F10" s="1">
        <v>6.5000000000000002E-2</v>
      </c>
      <c r="G10" s="8">
        <v>0.03</v>
      </c>
      <c r="H10" s="9">
        <v>8.5000000000000006E-3</v>
      </c>
      <c r="I10" s="1"/>
      <c r="J10" s="8"/>
    </row>
    <row r="11" spans="2:17">
      <c r="B11" s="30">
        <v>44252</v>
      </c>
      <c r="C11" s="9">
        <v>0</v>
      </c>
      <c r="D11" s="9">
        <v>0</v>
      </c>
      <c r="E11" s="1">
        <v>5.0000000000000044E-3</v>
      </c>
      <c r="F11" s="1">
        <v>6.5000000000000002E-2</v>
      </c>
      <c r="G11" s="8">
        <v>0.03</v>
      </c>
      <c r="H11" s="9">
        <v>8.5000000000000006E-3</v>
      </c>
      <c r="I11" s="1"/>
      <c r="J11" s="8"/>
    </row>
    <row r="12" spans="2:17">
      <c r="B12" s="30">
        <v>44280</v>
      </c>
      <c r="C12" s="9">
        <v>0</v>
      </c>
      <c r="D12" s="9">
        <v>0</v>
      </c>
      <c r="E12" s="1">
        <v>5.0000000000000044E-3</v>
      </c>
      <c r="F12" s="1">
        <v>6.5000000000000002E-2</v>
      </c>
      <c r="G12" s="8">
        <v>0.03</v>
      </c>
      <c r="H12" s="9">
        <v>3.1E-2</v>
      </c>
      <c r="I12" s="1"/>
      <c r="J12" s="8"/>
    </row>
    <row r="13" spans="2:17">
      <c r="B13" s="30">
        <v>44315</v>
      </c>
      <c r="C13" s="9">
        <v>0</v>
      </c>
      <c r="D13" s="9">
        <v>0</v>
      </c>
      <c r="E13" s="1">
        <v>1.1930693069306941E-2</v>
      </c>
      <c r="F13" s="1">
        <v>7.1930693069306939E-2</v>
      </c>
      <c r="G13" s="8">
        <v>0.03</v>
      </c>
      <c r="H13" s="9">
        <v>3.1E-2</v>
      </c>
      <c r="I13" s="1"/>
      <c r="J13" s="8"/>
    </row>
    <row r="14" spans="2:17">
      <c r="B14" s="30">
        <v>44343</v>
      </c>
      <c r="C14" s="9">
        <v>0</v>
      </c>
      <c r="D14" s="9">
        <v>0</v>
      </c>
      <c r="E14" s="1">
        <v>1.7265861027190341E-2</v>
      </c>
      <c r="F14" s="1">
        <v>7.7265861027190338E-2</v>
      </c>
      <c r="G14" s="8">
        <v>0.03</v>
      </c>
      <c r="H14" s="9">
        <v>3.1E-2</v>
      </c>
      <c r="I14" s="1"/>
      <c r="J14" s="8"/>
    </row>
    <row r="15" spans="2:17">
      <c r="B15" s="3">
        <v>44371</v>
      </c>
      <c r="C15" s="9">
        <v>0</v>
      </c>
      <c r="D15" s="9">
        <v>0</v>
      </c>
      <c r="E15" s="1">
        <v>2.1768802228412265E-2</v>
      </c>
      <c r="F15" s="1">
        <v>8.1768802228412263E-2</v>
      </c>
      <c r="G15" s="8">
        <v>0.03</v>
      </c>
      <c r="H15" s="9">
        <v>3.4500000000000003E-2</v>
      </c>
      <c r="I15" s="1"/>
      <c r="J15" s="8"/>
    </row>
    <row r="16" spans="2:17">
      <c r="B16" s="30">
        <v>44406</v>
      </c>
      <c r="C16" s="9">
        <v>0</v>
      </c>
      <c r="D16" s="9">
        <v>0</v>
      </c>
      <c r="E16" s="1">
        <v>2.6497461928934013E-2</v>
      </c>
      <c r="F16" s="1">
        <v>8.6497461928934011E-2</v>
      </c>
      <c r="G16" s="8">
        <v>0.03</v>
      </c>
      <c r="H16" s="9">
        <v>3.4500000000000003E-2</v>
      </c>
      <c r="I16" s="1"/>
      <c r="J16" s="8"/>
    </row>
    <row r="17" spans="2:10">
      <c r="B17" s="30">
        <v>44434</v>
      </c>
      <c r="C17" s="9">
        <v>0</v>
      </c>
      <c r="D17" s="9">
        <v>0</v>
      </c>
      <c r="E17" s="1">
        <v>2.9715639810426547E-2</v>
      </c>
      <c r="F17" s="1">
        <v>8.9715639810426545E-2</v>
      </c>
      <c r="G17" s="8">
        <v>0.03</v>
      </c>
      <c r="H17" s="9">
        <v>3.4500000000000003E-2</v>
      </c>
      <c r="I17" s="1"/>
      <c r="J17" s="8"/>
    </row>
    <row r="18" spans="2:10">
      <c r="B18" s="30">
        <v>44469</v>
      </c>
      <c r="C18" s="9">
        <v>0</v>
      </c>
      <c r="D18" s="9">
        <v>0</v>
      </c>
      <c r="E18" s="1">
        <v>3.3183807439824964E-2</v>
      </c>
      <c r="F18" s="1">
        <v>9.3183807439824962E-2</v>
      </c>
      <c r="G18" s="8">
        <v>0.03</v>
      </c>
      <c r="H18" s="9">
        <v>3.4500000000000003E-2</v>
      </c>
      <c r="I18" s="1"/>
      <c r="J18" s="8"/>
    </row>
    <row r="19" spans="2:10">
      <c r="B19" s="30">
        <v>44497</v>
      </c>
      <c r="C19" s="9">
        <v>0</v>
      </c>
      <c r="D19" s="9">
        <v>0</v>
      </c>
      <c r="E19" s="1">
        <v>3.5597938144329905E-2</v>
      </c>
      <c r="F19" s="1">
        <v>9.5597938144329903E-2</v>
      </c>
      <c r="G19" s="8">
        <v>0.03</v>
      </c>
      <c r="H19" s="9">
        <v>3.4500000000000003E-2</v>
      </c>
      <c r="I19" s="1"/>
      <c r="J19" s="8"/>
    </row>
    <row r="20" spans="2:10">
      <c r="B20" s="30">
        <v>44525</v>
      </c>
      <c r="C20" s="9">
        <v>0</v>
      </c>
      <c r="D20" s="9">
        <v>0</v>
      </c>
      <c r="E20" s="1">
        <v>3.7748538011695934E-2</v>
      </c>
      <c r="F20" s="1">
        <v>9.7748538011695932E-2</v>
      </c>
      <c r="G20" s="8">
        <v>0.03</v>
      </c>
      <c r="H20" s="9">
        <v>3.4500000000000003E-2</v>
      </c>
      <c r="I20" s="1"/>
      <c r="J20" s="8"/>
    </row>
    <row r="21" spans="2:10">
      <c r="B21" s="3">
        <v>44560</v>
      </c>
      <c r="C21" s="9">
        <v>0</v>
      </c>
      <c r="D21" s="9">
        <v>0</v>
      </c>
      <c r="E21" s="1">
        <v>4.0127737226277382E-2</v>
      </c>
      <c r="F21" s="1">
        <v>0.10012773722627738</v>
      </c>
      <c r="G21" s="8">
        <v>0.03</v>
      </c>
      <c r="H21" s="9">
        <v>3.7000000000000005E-2</v>
      </c>
      <c r="I21" s="1"/>
      <c r="J21" s="8"/>
    </row>
    <row r="22" spans="2:10">
      <c r="B22" s="30">
        <v>44588</v>
      </c>
      <c r="C22" s="9">
        <v>0</v>
      </c>
      <c r="D22" s="9">
        <v>0</v>
      </c>
      <c r="E22" s="1">
        <v>4.1822916666666682E-2</v>
      </c>
      <c r="F22" s="1">
        <v>0.10182291666666668</v>
      </c>
      <c r="G22" s="8">
        <v>0.03</v>
      </c>
      <c r="H22" s="9">
        <v>3.7000000000000005E-2</v>
      </c>
      <c r="I22" s="1"/>
      <c r="J22" s="8"/>
    </row>
    <row r="23" spans="2:10">
      <c r="B23" s="30">
        <v>44616</v>
      </c>
      <c r="C23" s="9">
        <v>0</v>
      </c>
      <c r="D23" s="9">
        <v>0</v>
      </c>
      <c r="E23" s="1">
        <v>4.3360927152317888E-2</v>
      </c>
      <c r="F23" s="1">
        <v>0.10336092715231789</v>
      </c>
      <c r="G23" s="8">
        <v>0.03</v>
      </c>
      <c r="H23" s="9">
        <v>3.7000000000000005E-2</v>
      </c>
      <c r="I23" s="1"/>
      <c r="J23" s="8"/>
    </row>
    <row r="24" spans="2:10">
      <c r="B24" s="30">
        <v>44651</v>
      </c>
      <c r="C24" s="9">
        <v>0</v>
      </c>
      <c r="D24" s="9">
        <v>0</v>
      </c>
      <c r="E24" s="1">
        <v>4.5093896713615023E-2</v>
      </c>
      <c r="F24" s="1">
        <v>0.10509389671361502</v>
      </c>
      <c r="G24" s="8">
        <v>0.03</v>
      </c>
      <c r="H24" s="9">
        <v>3.7000000000000005E-2</v>
      </c>
      <c r="I24" s="1"/>
      <c r="J24" s="8"/>
    </row>
    <row r="25" spans="2:10">
      <c r="B25" s="30">
        <v>44679</v>
      </c>
      <c r="C25" s="9">
        <v>0</v>
      </c>
      <c r="D25" s="9">
        <v>0</v>
      </c>
      <c r="E25" s="1">
        <v>4.634932533733134E-2</v>
      </c>
      <c r="F25" s="1">
        <v>0.10634932533733134</v>
      </c>
      <c r="G25" s="8">
        <v>0.03</v>
      </c>
      <c r="H25" s="9">
        <v>3.7000000000000005E-2</v>
      </c>
      <c r="I25" s="1"/>
      <c r="J25" s="8"/>
    </row>
    <row r="26" spans="2:10">
      <c r="B26" s="30">
        <v>44707</v>
      </c>
      <c r="C26" s="9">
        <v>0</v>
      </c>
      <c r="D26" s="9">
        <v>0</v>
      </c>
      <c r="E26" s="1">
        <v>4.7503597122302163E-2</v>
      </c>
      <c r="F26" s="1">
        <v>0.10750359712230216</v>
      </c>
      <c r="G26" s="8">
        <v>0.03</v>
      </c>
      <c r="H26" s="9">
        <v>3.7000000000000005E-2</v>
      </c>
      <c r="I26" s="1"/>
      <c r="J26" s="8"/>
    </row>
    <row r="27" spans="2:10">
      <c r="B27" s="3">
        <v>44742</v>
      </c>
      <c r="C27" s="9">
        <v>0</v>
      </c>
      <c r="D27" s="9">
        <v>0</v>
      </c>
      <c r="E27" s="1">
        <v>4.8821917808219192E-2</v>
      </c>
      <c r="F27" s="1">
        <v>0.10882191780821919</v>
      </c>
      <c r="G27" s="8">
        <v>0.03</v>
      </c>
      <c r="H27" s="9">
        <v>3.85E-2</v>
      </c>
      <c r="I27" s="1"/>
      <c r="J27" s="8"/>
    </row>
    <row r="28" spans="2:10">
      <c r="B28" s="31">
        <v>44770</v>
      </c>
      <c r="C28" s="9">
        <v>0</v>
      </c>
      <c r="D28" s="9">
        <v>0</v>
      </c>
      <c r="E28" s="1">
        <v>4.9788918205804764E-2</v>
      </c>
      <c r="F28" s="1">
        <v>0.10978891820580476</v>
      </c>
      <c r="G28" s="8">
        <v>0.03</v>
      </c>
      <c r="H28" s="9">
        <v>3.85E-2</v>
      </c>
      <c r="I28" s="1"/>
      <c r="J28" s="8"/>
    </row>
    <row r="29" spans="2:10">
      <c r="B29" s="31">
        <v>44798</v>
      </c>
      <c r="C29" s="9">
        <v>0</v>
      </c>
      <c r="D29" s="9">
        <v>0</v>
      </c>
      <c r="E29" s="1">
        <v>5.0687022900763379E-2</v>
      </c>
      <c r="F29" s="1">
        <v>0.11068702290076338</v>
      </c>
      <c r="G29" s="8">
        <v>0.03</v>
      </c>
      <c r="H29" s="9">
        <v>3.85E-2</v>
      </c>
      <c r="I29" s="1"/>
      <c r="J29" s="8"/>
    </row>
    <row r="30" spans="2:10">
      <c r="B30" s="31">
        <v>44833</v>
      </c>
      <c r="C30" s="9">
        <v>0</v>
      </c>
      <c r="D30" s="9">
        <v>0</v>
      </c>
      <c r="E30" s="1">
        <v>5.1723507917174186E-2</v>
      </c>
      <c r="F30" s="1">
        <v>0.11172350791717418</v>
      </c>
      <c r="G30" s="8">
        <v>0.03</v>
      </c>
      <c r="H30" s="9">
        <v>3.85E-2</v>
      </c>
      <c r="I30" s="1"/>
      <c r="J30" s="8"/>
    </row>
    <row r="31" spans="2:10">
      <c r="B31" s="31">
        <v>44861</v>
      </c>
      <c r="C31" s="9">
        <v>0</v>
      </c>
      <c r="D31" s="9">
        <v>0</v>
      </c>
      <c r="E31" s="1">
        <v>5.249116607773853E-2</v>
      </c>
      <c r="F31" s="1">
        <v>0.11249116607773853</v>
      </c>
      <c r="G31" s="8">
        <v>0.03</v>
      </c>
      <c r="H31" s="9">
        <v>3.85E-2</v>
      </c>
      <c r="I31" s="1"/>
      <c r="J31" s="8"/>
    </row>
    <row r="32" spans="2:10">
      <c r="B32" s="31">
        <v>44889</v>
      </c>
      <c r="C32" s="9">
        <v>0</v>
      </c>
      <c r="D32" s="9">
        <v>0</v>
      </c>
      <c r="E32" s="1">
        <v>5.3209806157354628E-2</v>
      </c>
      <c r="F32" s="1">
        <v>0.11320980615735463</v>
      </c>
      <c r="G32" s="8">
        <v>0.03</v>
      </c>
      <c r="H32" s="9">
        <v>3.85E-2</v>
      </c>
      <c r="I32" s="1"/>
      <c r="J32" s="8"/>
    </row>
    <row r="33" spans="2:10">
      <c r="B33" s="3">
        <v>44924</v>
      </c>
      <c r="C33" s="9">
        <v>0</v>
      </c>
      <c r="D33" s="9">
        <v>0</v>
      </c>
      <c r="E33" s="1">
        <v>5.4046052631578953E-2</v>
      </c>
      <c r="F33" s="1">
        <v>0.11404605263157895</v>
      </c>
      <c r="G33" s="8">
        <v>0.03</v>
      </c>
      <c r="H33" s="9">
        <v>3.95E-2</v>
      </c>
      <c r="I33" s="1"/>
      <c r="J33" s="8"/>
    </row>
    <row r="34" spans="2:10">
      <c r="B34" s="3">
        <v>44951</v>
      </c>
      <c r="C34" s="9">
        <v>0</v>
      </c>
      <c r="D34" s="9">
        <v>0</v>
      </c>
      <c r="E34" s="1">
        <v>5.4648562300319503E-2</v>
      </c>
      <c r="F34" s="1">
        <v>0.1146485623003195</v>
      </c>
      <c r="G34" s="8">
        <v>0.03</v>
      </c>
      <c r="H34" s="9">
        <v>3.95E-2</v>
      </c>
      <c r="I34" s="1"/>
      <c r="J34" s="8"/>
    </row>
    <row r="35" spans="2:10">
      <c r="B35" s="3">
        <v>44980</v>
      </c>
      <c r="C35" s="9">
        <v>0</v>
      </c>
      <c r="D35" s="9">
        <v>0</v>
      </c>
      <c r="E35" s="1">
        <v>5.5258264462809931E-2</v>
      </c>
      <c r="F35" s="1">
        <v>0.11525826446280993</v>
      </c>
      <c r="G35" s="8">
        <v>0.03</v>
      </c>
      <c r="H35" s="9">
        <v>3.95E-2</v>
      </c>
      <c r="I35" s="1"/>
      <c r="J35" s="8"/>
    </row>
    <row r="36" spans="2:10">
      <c r="B36" s="3">
        <v>45015</v>
      </c>
      <c r="C36" s="9">
        <v>0</v>
      </c>
      <c r="D36" s="9">
        <v>0</v>
      </c>
      <c r="E36" s="1">
        <v>5.5947158524426735E-2</v>
      </c>
      <c r="F36" s="1">
        <v>0.11594715852442673</v>
      </c>
      <c r="G36" s="8">
        <v>0.03</v>
      </c>
      <c r="H36" s="9">
        <v>3.95E-2</v>
      </c>
      <c r="I36" s="1"/>
      <c r="J36" s="8"/>
    </row>
    <row r="37" spans="2:10">
      <c r="B37" s="3">
        <v>45043</v>
      </c>
      <c r="C37" s="9">
        <v>0</v>
      </c>
      <c r="D37" s="9">
        <v>0</v>
      </c>
      <c r="E37" s="1">
        <v>5.6464597478176545E-2</v>
      </c>
      <c r="F37" s="1">
        <v>0.11646459747817654</v>
      </c>
      <c r="G37" s="8">
        <v>0.03</v>
      </c>
      <c r="H37" s="9">
        <v>3.95E-2</v>
      </c>
      <c r="I37" s="1"/>
      <c r="J37" s="8"/>
    </row>
    <row r="38" spans="2:10">
      <c r="B38" s="3">
        <v>45071</v>
      </c>
      <c r="C38" s="9">
        <v>0</v>
      </c>
      <c r="D38" s="9">
        <v>0</v>
      </c>
      <c r="E38" s="1">
        <v>5.6954674220963189E-2</v>
      </c>
      <c r="F38" s="1">
        <v>0.11695467422096319</v>
      </c>
      <c r="G38" s="8">
        <v>0.03</v>
      </c>
      <c r="H38" s="9">
        <v>3.95E-2</v>
      </c>
      <c r="I38" s="1"/>
      <c r="J38" s="8"/>
    </row>
    <row r="39" spans="2:10">
      <c r="B39" s="3">
        <v>45106</v>
      </c>
      <c r="C39" s="9">
        <v>0</v>
      </c>
      <c r="D39" s="9">
        <v>0</v>
      </c>
      <c r="E39" s="1">
        <v>5.7467889908256881E-2</v>
      </c>
      <c r="F39" s="1">
        <v>0.11746788990825688</v>
      </c>
      <c r="G39" s="8">
        <v>0.03</v>
      </c>
      <c r="H39" s="9">
        <v>4.4499999999999998E-2</v>
      </c>
      <c r="I39" s="1"/>
      <c r="J39" s="8"/>
    </row>
    <row r="40" spans="2:10">
      <c r="B40" s="30">
        <v>45134</v>
      </c>
      <c r="C40" s="9">
        <v>0</v>
      </c>
      <c r="D40" s="9">
        <v>0</v>
      </c>
      <c r="E40" s="1">
        <v>5.7967914438502688E-2</v>
      </c>
      <c r="F40" s="1">
        <v>0.11796791443850269</v>
      </c>
      <c r="G40" s="8">
        <v>0.03</v>
      </c>
      <c r="H40" s="9">
        <v>4.4499999999999998E-2</v>
      </c>
      <c r="I40" s="1"/>
      <c r="J40" s="8"/>
    </row>
    <row r="41" spans="2:10">
      <c r="B41" s="30">
        <v>45169</v>
      </c>
      <c r="C41" s="9">
        <v>0</v>
      </c>
      <c r="D41" s="9">
        <v>0</v>
      </c>
      <c r="E41" s="1">
        <v>5.8483146067415739E-2</v>
      </c>
      <c r="F41" s="1">
        <v>0.11848314606741574</v>
      </c>
      <c r="G41" s="8">
        <v>0.03</v>
      </c>
      <c r="H41" s="9">
        <v>4.4499999999999998E-2</v>
      </c>
      <c r="I41" s="1"/>
      <c r="J41" s="8"/>
    </row>
    <row r="42" spans="2:10">
      <c r="B42" s="30">
        <v>45197</v>
      </c>
      <c r="C42" s="9">
        <v>0</v>
      </c>
      <c r="D42" s="9">
        <v>0</v>
      </c>
      <c r="E42" s="1">
        <v>5.8873417721518995E-2</v>
      </c>
      <c r="F42" s="1">
        <v>0.11887341772151899</v>
      </c>
      <c r="G42" s="8">
        <v>0.03</v>
      </c>
      <c r="H42" s="9">
        <v>4.4499999999999998E-2</v>
      </c>
      <c r="I42" s="1"/>
      <c r="J42" s="8"/>
    </row>
    <row r="43" spans="2:10">
      <c r="B43" s="30">
        <v>45225</v>
      </c>
      <c r="C43" s="9">
        <v>0</v>
      </c>
      <c r="D43" s="9">
        <v>0</v>
      </c>
      <c r="E43" s="1">
        <v>5.9245671887881296E-2</v>
      </c>
      <c r="F43" s="1">
        <v>0.11924567188788129</v>
      </c>
      <c r="G43" s="8">
        <v>0.03</v>
      </c>
      <c r="H43" s="9">
        <v>4.4499999999999998E-2</v>
      </c>
      <c r="I43" s="1"/>
      <c r="J43" s="8"/>
    </row>
    <row r="44" spans="2:10">
      <c r="B44" s="30">
        <v>45260</v>
      </c>
      <c r="C44" s="9">
        <v>0</v>
      </c>
      <c r="D44" s="9">
        <v>0</v>
      </c>
      <c r="E44" s="1">
        <v>5.9687500000000004E-2</v>
      </c>
      <c r="F44" s="1">
        <v>0.1196875</v>
      </c>
      <c r="G44" s="8">
        <v>0.03</v>
      </c>
      <c r="H44" s="9">
        <v>4.4499999999999998E-2</v>
      </c>
      <c r="I44" s="1"/>
      <c r="J44" s="8"/>
    </row>
    <row r="45" spans="2:10">
      <c r="B45" s="3">
        <v>45288</v>
      </c>
      <c r="C45" s="9">
        <v>0</v>
      </c>
      <c r="D45" s="9">
        <v>0</v>
      </c>
      <c r="E45" s="1">
        <v>6.0023510971786834E-2</v>
      </c>
      <c r="F45" s="1">
        <v>0.12002351097178683</v>
      </c>
      <c r="G45" s="8">
        <v>0.03</v>
      </c>
      <c r="H45" s="9">
        <v>4.4499999999999998E-2</v>
      </c>
      <c r="I45" s="1"/>
      <c r="J45" s="8"/>
    </row>
    <row r="46" spans="2:10">
      <c r="B46" s="3">
        <v>45316</v>
      </c>
      <c r="C46" s="9">
        <v>0</v>
      </c>
      <c r="D46" s="9">
        <v>0</v>
      </c>
      <c r="E46" s="1">
        <v>6.0023510971786834E-2</v>
      </c>
      <c r="F46" s="1">
        <v>0.12002351097178683</v>
      </c>
      <c r="G46" s="8">
        <v>0.03</v>
      </c>
      <c r="H46" s="9">
        <v>4.4499999999999998E-2</v>
      </c>
      <c r="I46" s="1"/>
      <c r="J46" s="8"/>
    </row>
    <row r="47" spans="2:10">
      <c r="B47" s="3">
        <v>45351</v>
      </c>
      <c r="C47" s="9">
        <v>0</v>
      </c>
      <c r="D47" s="9">
        <v>0</v>
      </c>
      <c r="E47" s="1">
        <v>6.0023510971786834E-2</v>
      </c>
      <c r="F47" s="1">
        <v>0.12002351097178683</v>
      </c>
      <c r="G47" s="8">
        <v>0.03</v>
      </c>
      <c r="H47" s="9">
        <v>4.4499999999999998E-2</v>
      </c>
      <c r="I47" s="1"/>
      <c r="J47" s="8"/>
    </row>
    <row r="48" spans="2:10">
      <c r="B48" s="3">
        <v>45687</v>
      </c>
      <c r="C48" s="9">
        <v>0</v>
      </c>
      <c r="D48" s="9">
        <v>0</v>
      </c>
      <c r="E48" s="1">
        <v>6.0023510971786834E-2</v>
      </c>
      <c r="F48" s="1">
        <v>0.12002351097178683</v>
      </c>
      <c r="G48" s="8">
        <v>0.03</v>
      </c>
      <c r="H48" s="9">
        <v>4.4499999999999998E-2</v>
      </c>
      <c r="I48" s="1"/>
      <c r="J48" s="8"/>
    </row>
    <row r="49" spans="2:10">
      <c r="B49" s="3">
        <v>45715</v>
      </c>
      <c r="C49" s="9">
        <v>0</v>
      </c>
      <c r="D49" s="9">
        <v>0</v>
      </c>
      <c r="E49" s="1">
        <v>6.0285605483625285E-2</v>
      </c>
      <c r="F49" s="1">
        <v>0.12028560548362528</v>
      </c>
      <c r="G49" s="8">
        <v>0.03</v>
      </c>
      <c r="H49" s="9">
        <v>4.4499999999999998E-2</v>
      </c>
      <c r="I49" s="6"/>
      <c r="J49" s="8"/>
    </row>
    <row r="50" spans="2:10">
      <c r="B50" s="3">
        <v>45743</v>
      </c>
      <c r="C50" s="9">
        <v>0</v>
      </c>
      <c r="D50" s="9">
        <v>0</v>
      </c>
      <c r="E50" s="1">
        <v>6.0285605483625285E-2</v>
      </c>
      <c r="F50" s="1">
        <v>0.12028560548362528</v>
      </c>
      <c r="G50" s="8">
        <v>0.03</v>
      </c>
      <c r="H50" s="9">
        <v>4.4499999999999998E-2</v>
      </c>
      <c r="I50" s="6"/>
      <c r="J50" s="8"/>
    </row>
    <row r="51" spans="2:10">
      <c r="B51" s="3">
        <v>45771</v>
      </c>
      <c r="C51" s="9">
        <v>0</v>
      </c>
      <c r="D51" s="9">
        <v>0</v>
      </c>
      <c r="E51" s="1">
        <v>6.0285605483625285E-2</v>
      </c>
      <c r="F51" s="1">
        <v>0.12028560548362528</v>
      </c>
      <c r="G51" s="8">
        <v>0.03</v>
      </c>
      <c r="H51" s="9">
        <v>4.4499999999999998E-2</v>
      </c>
      <c r="I51" s="6"/>
      <c r="J51" s="8"/>
    </row>
    <row r="52" spans="2:10">
      <c r="B52" s="3">
        <v>45806</v>
      </c>
      <c r="C52" s="9">
        <v>0</v>
      </c>
      <c r="D52" s="9">
        <v>0</v>
      </c>
      <c r="E52" s="1">
        <v>6.0285605483625285E-2</v>
      </c>
      <c r="F52" s="1">
        <v>0.12028560548362528</v>
      </c>
      <c r="G52" s="8">
        <v>0.03</v>
      </c>
      <c r="H52" s="9">
        <v>4.4499999999999998E-2</v>
      </c>
      <c r="I52" s="6"/>
    </row>
    <row r="53" spans="2:10">
      <c r="B53" s="3">
        <v>45834</v>
      </c>
      <c r="C53" s="9">
        <v>0</v>
      </c>
      <c r="D53" s="9">
        <v>0</v>
      </c>
      <c r="E53" s="1">
        <v>6.0285605483625285E-2</v>
      </c>
      <c r="F53" s="1">
        <v>0.12028560548362528</v>
      </c>
      <c r="G53" s="8">
        <v>0.03</v>
      </c>
      <c r="H53" s="9">
        <v>4.4499999999999998E-2</v>
      </c>
      <c r="I53" s="6"/>
    </row>
    <row r="54" spans="2:10">
      <c r="B54" s="3">
        <v>45869</v>
      </c>
      <c r="C54" s="9">
        <v>0</v>
      </c>
      <c r="D54" s="9">
        <v>0</v>
      </c>
      <c r="E54" s="1">
        <v>6.0285605483625285E-2</v>
      </c>
      <c r="F54" s="1">
        <v>0.12028560548362528</v>
      </c>
      <c r="G54" s="8">
        <v>0.03</v>
      </c>
      <c r="H54" s="9">
        <v>4.4499999999999998E-2</v>
      </c>
      <c r="I54" s="6"/>
    </row>
    <row r="55" spans="2:10">
      <c r="B55" s="3">
        <v>45897</v>
      </c>
      <c r="C55" s="9">
        <v>0</v>
      </c>
      <c r="D55" s="9">
        <v>0</v>
      </c>
      <c r="E55" s="1">
        <v>6.0285605483625285E-2</v>
      </c>
      <c r="F55" s="1">
        <v>0.12028560548362528</v>
      </c>
      <c r="G55" s="8">
        <v>0.03</v>
      </c>
      <c r="H55" s="9">
        <v>4.4499999999999998E-2</v>
      </c>
      <c r="I55" s="6"/>
    </row>
    <row r="56" spans="2:10">
      <c r="B56" s="3">
        <v>45925</v>
      </c>
      <c r="C56" s="9">
        <v>0</v>
      </c>
      <c r="D56" s="9">
        <v>0</v>
      </c>
      <c r="E56" s="1">
        <v>6.0285605483625285E-2</v>
      </c>
      <c r="F56" s="1">
        <v>0.12028560548362528</v>
      </c>
      <c r="G56" s="8">
        <v>0.03</v>
      </c>
      <c r="H56" s="9">
        <v>4.4499999999999998E-2</v>
      </c>
      <c r="I56" s="6"/>
    </row>
    <row r="57" spans="2:10">
      <c r="B57" s="3">
        <v>45960</v>
      </c>
      <c r="C57" s="9">
        <v>0</v>
      </c>
      <c r="D57" s="9">
        <v>0</v>
      </c>
      <c r="E57" s="1">
        <v>6.0285605483625285E-2</v>
      </c>
      <c r="F57" s="1">
        <v>0.12028560548362528</v>
      </c>
      <c r="G57" s="8">
        <v>0.03</v>
      </c>
      <c r="H57" s="9">
        <v>4.4499999999999998E-2</v>
      </c>
      <c r="I57" s="6"/>
    </row>
    <row r="58" spans="2:10">
      <c r="B58" s="3">
        <v>45988</v>
      </c>
      <c r="C58" s="9">
        <v>0</v>
      </c>
      <c r="D58" s="9">
        <v>0</v>
      </c>
      <c r="E58" s="1">
        <v>6.0285605483625285E-2</v>
      </c>
      <c r="F58" s="1">
        <v>0.12028560548362528</v>
      </c>
      <c r="G58" s="8">
        <v>0.03</v>
      </c>
      <c r="H58" s="9">
        <v>4.4499999999999998E-2</v>
      </c>
      <c r="I58" s="6"/>
    </row>
    <row r="59" spans="2:10">
      <c r="B59" s="3">
        <v>46015</v>
      </c>
      <c r="C59" s="9">
        <v>0</v>
      </c>
      <c r="D59" s="9">
        <v>0</v>
      </c>
      <c r="E59" s="1">
        <v>6.0285605483625285E-2</v>
      </c>
      <c r="F59" s="1">
        <v>0.12028560548362528</v>
      </c>
      <c r="G59" s="8">
        <v>0.03</v>
      </c>
      <c r="H59" s="9">
        <v>4.4499999999999998E-2</v>
      </c>
      <c r="I59" s="6"/>
    </row>
    <row r="60" spans="2:10">
      <c r="B60" s="3">
        <v>46051</v>
      </c>
      <c r="C60" s="9">
        <v>0</v>
      </c>
      <c r="D60" s="9">
        <v>0</v>
      </c>
      <c r="E60" s="1">
        <v>6.0285605483625285E-2</v>
      </c>
      <c r="F60" s="1">
        <v>0.12028560548362528</v>
      </c>
      <c r="G60" s="8">
        <v>0.03</v>
      </c>
      <c r="H60" s="9">
        <v>4.4499999999999998E-2</v>
      </c>
      <c r="I60" s="6"/>
    </row>
    <row r="61" spans="2:10">
      <c r="B61" s="3">
        <v>46079</v>
      </c>
      <c r="C61" s="9">
        <v>0</v>
      </c>
      <c r="D61" s="9">
        <v>0</v>
      </c>
      <c r="E61" s="1">
        <v>6.0285605483625285E-2</v>
      </c>
      <c r="F61" s="1">
        <v>0.12028560548362528</v>
      </c>
      <c r="G61" s="8">
        <v>0.03</v>
      </c>
      <c r="H61" s="9">
        <v>4.4499999999999998E-2</v>
      </c>
      <c r="I61" s="6"/>
    </row>
    <row r="62" spans="2:10">
      <c r="B62" s="3">
        <v>46107</v>
      </c>
      <c r="C62" s="9">
        <v>0</v>
      </c>
      <c r="D62" s="9">
        <v>0</v>
      </c>
      <c r="E62" s="1">
        <v>6.0285605483625285E-2</v>
      </c>
      <c r="F62" s="1">
        <v>0.12028560548362528</v>
      </c>
      <c r="G62" s="8">
        <v>0.03</v>
      </c>
      <c r="H62" s="9">
        <v>4.4499999999999998E-2</v>
      </c>
      <c r="I62" s="6"/>
    </row>
    <row r="63" spans="2:10">
      <c r="B63" s="3">
        <v>46142</v>
      </c>
      <c r="C63" s="9">
        <v>0</v>
      </c>
      <c r="D63" s="9">
        <v>0</v>
      </c>
      <c r="E63" s="1">
        <v>6.0285605483625285E-2</v>
      </c>
      <c r="F63" s="1">
        <v>0.12028560548362528</v>
      </c>
      <c r="G63" s="8">
        <v>0.03</v>
      </c>
      <c r="H63" s="9">
        <v>4.4499999999999998E-2</v>
      </c>
      <c r="I63" s="6"/>
    </row>
    <row r="64" spans="2:10">
      <c r="B64" s="3">
        <v>46170</v>
      </c>
      <c r="C64" s="9">
        <v>0</v>
      </c>
      <c r="D64" s="9">
        <v>0</v>
      </c>
      <c r="E64" s="1">
        <v>6.0285605483625285E-2</v>
      </c>
      <c r="F64" s="1">
        <v>0.12028560548362528</v>
      </c>
      <c r="G64" s="8">
        <v>0.03</v>
      </c>
      <c r="H64" s="9">
        <v>4.4499999999999998E-2</v>
      </c>
      <c r="I64" s="6"/>
    </row>
    <row r="65" spans="2:9">
      <c r="B65" s="3">
        <v>46198</v>
      </c>
      <c r="C65" s="9">
        <v>0</v>
      </c>
      <c r="D65" s="9">
        <v>0</v>
      </c>
      <c r="E65" s="1">
        <v>6.0285605483625285E-2</v>
      </c>
      <c r="F65" s="1">
        <v>0.12028560548362528</v>
      </c>
      <c r="G65" s="8">
        <v>0.03</v>
      </c>
      <c r="H65" s="9">
        <v>4.4499999999999998E-2</v>
      </c>
      <c r="I65" s="6"/>
    </row>
    <row r="66" spans="2:9">
      <c r="B66" s="3">
        <v>46233</v>
      </c>
      <c r="C66" s="9">
        <v>0</v>
      </c>
      <c r="D66" s="9">
        <v>0</v>
      </c>
      <c r="E66" s="1">
        <v>6.0285605483625285E-2</v>
      </c>
      <c r="F66" s="1">
        <v>0.12028560548362528</v>
      </c>
      <c r="G66" s="8">
        <v>0.03</v>
      </c>
      <c r="H66" s="9">
        <v>4.4499999999999998E-2</v>
      </c>
      <c r="I66" s="6"/>
    </row>
    <row r="67" spans="2:9">
      <c r="B67" s="3">
        <v>46261</v>
      </c>
      <c r="C67" s="9">
        <v>0</v>
      </c>
      <c r="D67" s="9">
        <v>0</v>
      </c>
      <c r="E67" s="1">
        <v>6.0285605483625285E-2</v>
      </c>
      <c r="F67" s="1">
        <v>0.12028560548362528</v>
      </c>
      <c r="G67" s="8">
        <v>0.03</v>
      </c>
      <c r="H67" s="9">
        <v>4.4499999999999998E-2</v>
      </c>
      <c r="I67" s="6"/>
    </row>
    <row r="68" spans="2:9">
      <c r="B68" s="3">
        <v>46289</v>
      </c>
      <c r="C68" s="9">
        <v>0</v>
      </c>
      <c r="D68" s="9">
        <v>0</v>
      </c>
      <c r="E68" s="1">
        <v>6.0285605483625285E-2</v>
      </c>
      <c r="F68" s="1">
        <v>0.12028560548362528</v>
      </c>
      <c r="G68" s="8">
        <v>0.03</v>
      </c>
      <c r="H68" s="9">
        <v>4.4499999999999998E-2</v>
      </c>
      <c r="I68" s="6"/>
    </row>
    <row r="69" spans="2:9">
      <c r="B69" s="3">
        <v>46324</v>
      </c>
      <c r="C69" s="9">
        <v>0</v>
      </c>
      <c r="D69" s="9">
        <v>0</v>
      </c>
      <c r="E69" s="1">
        <v>6.0285605483625285E-2</v>
      </c>
      <c r="F69" s="1">
        <v>0.12028560548362528</v>
      </c>
      <c r="G69" s="8">
        <v>0.03</v>
      </c>
      <c r="H69" s="9">
        <v>5.5E-2</v>
      </c>
      <c r="I69" s="6"/>
    </row>
    <row r="70" spans="2:9">
      <c r="B70" s="3">
        <v>46352</v>
      </c>
      <c r="C70" s="9">
        <v>0</v>
      </c>
      <c r="D70" s="9">
        <v>0</v>
      </c>
      <c r="E70" s="1">
        <v>6.0285605483625285E-2</v>
      </c>
      <c r="F70" s="1">
        <v>0.12028560548362528</v>
      </c>
      <c r="G70" s="8">
        <v>0.03</v>
      </c>
      <c r="H70" s="9">
        <f>H69</f>
        <v>5.5E-2</v>
      </c>
      <c r="I70" s="6"/>
    </row>
    <row r="71" spans="2:9">
      <c r="B71" s="3">
        <v>46387</v>
      </c>
      <c r="C71" s="9">
        <v>0</v>
      </c>
      <c r="D71" s="9">
        <v>0</v>
      </c>
      <c r="E71" s="1">
        <v>6.0285605483625285E-2</v>
      </c>
      <c r="F71" s="1">
        <v>0.12028560548362528</v>
      </c>
      <c r="G71" s="8">
        <v>0.03</v>
      </c>
      <c r="H71" s="9">
        <f t="shared" ref="H71:H85" si="0">H70</f>
        <v>5.5E-2</v>
      </c>
      <c r="I71" s="6"/>
    </row>
    <row r="72" spans="2:9">
      <c r="B72" s="3">
        <v>46415</v>
      </c>
      <c r="C72" s="9">
        <v>0</v>
      </c>
      <c r="D72" s="9">
        <v>0</v>
      </c>
      <c r="E72" s="1">
        <v>6.0285605483625285E-2</v>
      </c>
      <c r="F72" s="1">
        <v>0.12028560548362528</v>
      </c>
      <c r="G72" s="8">
        <v>0.03</v>
      </c>
      <c r="H72" s="9">
        <f t="shared" si="0"/>
        <v>5.5E-2</v>
      </c>
      <c r="I72" s="6"/>
    </row>
    <row r="73" spans="2:9">
      <c r="B73" s="3">
        <v>46443</v>
      </c>
      <c r="C73" s="9">
        <v>0</v>
      </c>
      <c r="D73" s="9">
        <v>0</v>
      </c>
      <c r="E73" s="1">
        <v>6.0285605483625285E-2</v>
      </c>
      <c r="F73" s="1">
        <v>0.12028560548362528</v>
      </c>
      <c r="G73" s="8">
        <v>0.03</v>
      </c>
      <c r="H73" s="9">
        <f t="shared" si="0"/>
        <v>5.5E-2</v>
      </c>
      <c r="I73" s="6"/>
    </row>
    <row r="74" spans="2:9">
      <c r="B74" s="3">
        <v>46471</v>
      </c>
      <c r="C74" s="9">
        <v>0</v>
      </c>
      <c r="D74" s="9">
        <v>0</v>
      </c>
      <c r="E74" s="188">
        <v>6.0285605483625285E-2</v>
      </c>
      <c r="F74" s="188">
        <v>0.12028560548362528</v>
      </c>
      <c r="G74" s="8">
        <v>0.03</v>
      </c>
      <c r="H74" s="9">
        <f t="shared" si="0"/>
        <v>5.5E-2</v>
      </c>
      <c r="I74" s="6"/>
    </row>
    <row r="75" spans="2:9">
      <c r="B75" s="3">
        <v>46471</v>
      </c>
      <c r="C75" s="9">
        <v>0</v>
      </c>
      <c r="D75" s="9">
        <v>0</v>
      </c>
      <c r="E75" s="188">
        <v>6.0285605483625285E-2</v>
      </c>
      <c r="F75" s="188">
        <v>0.12028560548362528</v>
      </c>
      <c r="G75" s="8">
        <v>0.03</v>
      </c>
      <c r="H75" s="9">
        <f t="shared" si="0"/>
        <v>5.5E-2</v>
      </c>
    </row>
    <row r="76" spans="2:9">
      <c r="B76" s="3">
        <v>46506</v>
      </c>
      <c r="C76" s="9">
        <v>0</v>
      </c>
      <c r="D76" s="9">
        <v>0</v>
      </c>
      <c r="E76" s="188">
        <v>6.0285605483625285E-2</v>
      </c>
      <c r="F76" s="188">
        <v>0.12028560548362528</v>
      </c>
      <c r="G76" s="8">
        <v>0.03</v>
      </c>
      <c r="H76" s="9">
        <f t="shared" si="0"/>
        <v>5.5E-2</v>
      </c>
    </row>
    <row r="77" spans="2:9">
      <c r="B77" s="3">
        <v>46534</v>
      </c>
      <c r="C77" s="9">
        <v>0</v>
      </c>
      <c r="D77" s="9">
        <v>0</v>
      </c>
      <c r="E77" s="188">
        <v>6.0285605483625285E-2</v>
      </c>
      <c r="F77" s="188">
        <v>0.12028560548362528</v>
      </c>
      <c r="G77" s="8">
        <v>0.03</v>
      </c>
      <c r="H77" s="9">
        <f t="shared" si="0"/>
        <v>5.5E-2</v>
      </c>
    </row>
    <row r="78" spans="2:9">
      <c r="B78" s="3">
        <v>46562</v>
      </c>
      <c r="C78" s="9">
        <v>0</v>
      </c>
      <c r="D78" s="9">
        <v>0</v>
      </c>
      <c r="E78" s="188">
        <v>6.0285605483625285E-2</v>
      </c>
      <c r="F78" s="188">
        <v>0.12028560548362528</v>
      </c>
      <c r="G78" s="8">
        <v>0.03</v>
      </c>
      <c r="H78" s="9">
        <f t="shared" si="0"/>
        <v>5.5E-2</v>
      </c>
    </row>
    <row r="79" spans="2:9">
      <c r="B79" s="3">
        <v>46597</v>
      </c>
      <c r="C79" s="9">
        <v>0</v>
      </c>
      <c r="D79" s="9">
        <v>0</v>
      </c>
      <c r="E79" s="188">
        <v>6.0285605483625285E-2</v>
      </c>
      <c r="F79" s="188">
        <v>0.12028560548362528</v>
      </c>
      <c r="G79" s="8">
        <v>0.03</v>
      </c>
      <c r="H79" s="9">
        <f t="shared" si="0"/>
        <v>5.5E-2</v>
      </c>
    </row>
    <row r="80" spans="2:9">
      <c r="B80" s="3">
        <v>46625</v>
      </c>
      <c r="C80" s="9">
        <v>0</v>
      </c>
      <c r="D80" s="9">
        <v>0</v>
      </c>
      <c r="E80" s="188">
        <v>6.0285605483625285E-2</v>
      </c>
      <c r="F80" s="188">
        <v>0.12028560548362528</v>
      </c>
      <c r="G80" s="8">
        <v>0.03</v>
      </c>
      <c r="H80" s="9">
        <f t="shared" si="0"/>
        <v>5.5E-2</v>
      </c>
    </row>
    <row r="81" spans="2:8">
      <c r="B81" s="3">
        <v>46660</v>
      </c>
      <c r="C81" s="9">
        <v>0</v>
      </c>
      <c r="D81" s="9">
        <v>0</v>
      </c>
      <c r="E81" s="188">
        <v>6.0285605483625285E-2</v>
      </c>
      <c r="F81" s="188">
        <v>0.12028560548362528</v>
      </c>
      <c r="G81" s="8">
        <v>0.03</v>
      </c>
      <c r="H81" s="9">
        <f t="shared" si="0"/>
        <v>5.5E-2</v>
      </c>
    </row>
    <row r="82" spans="2:8">
      <c r="B82" s="3">
        <v>46688</v>
      </c>
      <c r="C82" s="9">
        <v>0</v>
      </c>
      <c r="D82" s="9">
        <v>0</v>
      </c>
      <c r="E82" s="188">
        <v>6.0285605483625285E-2</v>
      </c>
      <c r="F82" s="188">
        <v>0.12028560548362528</v>
      </c>
      <c r="G82" s="8">
        <v>0.03</v>
      </c>
      <c r="H82" s="9">
        <f t="shared" si="0"/>
        <v>5.5E-2</v>
      </c>
    </row>
    <row r="83" spans="2:8">
      <c r="B83" s="3">
        <v>46716</v>
      </c>
      <c r="C83" s="9">
        <v>0</v>
      </c>
      <c r="D83" s="9">
        <v>0</v>
      </c>
      <c r="E83" s="188">
        <v>6.0285605483625285E-2</v>
      </c>
      <c r="F83" s="188">
        <v>0.12028560548362528</v>
      </c>
      <c r="G83" s="8">
        <v>0.03</v>
      </c>
      <c r="H83" s="9">
        <f t="shared" si="0"/>
        <v>5.5E-2</v>
      </c>
    </row>
    <row r="84" spans="2:8">
      <c r="B84" s="3">
        <v>46751</v>
      </c>
      <c r="C84" s="9">
        <v>0</v>
      </c>
      <c r="D84" s="9">
        <v>0</v>
      </c>
      <c r="E84" s="188">
        <v>6.0285605483625285E-2</v>
      </c>
      <c r="F84" s="188">
        <v>0.12028560548362528</v>
      </c>
      <c r="G84" s="8">
        <v>0.03</v>
      </c>
      <c r="H84" s="9">
        <f t="shared" si="0"/>
        <v>5.5E-2</v>
      </c>
    </row>
    <row r="85" spans="2:8">
      <c r="B85" s="3">
        <v>46779</v>
      </c>
      <c r="C85" s="9">
        <v>0</v>
      </c>
      <c r="D85" s="9">
        <v>0</v>
      </c>
      <c r="E85" s="188">
        <v>6.0285605483625285E-2</v>
      </c>
      <c r="F85" s="188">
        <v>0.12028560548362528</v>
      </c>
      <c r="G85" s="8">
        <v>0.03</v>
      </c>
      <c r="H85" s="9">
        <f t="shared" si="0"/>
        <v>5.5E-2</v>
      </c>
    </row>
    <row r="86" spans="2:8">
      <c r="B86" s="3">
        <v>46807</v>
      </c>
      <c r="C86" s="9">
        <v>0</v>
      </c>
      <c r="D86" s="9">
        <v>0</v>
      </c>
      <c r="E86" s="188">
        <v>6.0285605483625285E-2</v>
      </c>
      <c r="F86" s="188">
        <v>0.12028560548362528</v>
      </c>
      <c r="G86" s="8">
        <v>0.03</v>
      </c>
      <c r="H86" s="9">
        <f>H85</f>
        <v>5.5E-2</v>
      </c>
    </row>
    <row r="87" spans="2:8">
      <c r="B87" s="3">
        <v>46842</v>
      </c>
      <c r="C87" s="9">
        <v>0</v>
      </c>
      <c r="D87" s="9">
        <v>0</v>
      </c>
      <c r="E87" s="188">
        <v>6.0285605483625285E-2</v>
      </c>
      <c r="F87" s="188">
        <v>0.12028560548362528</v>
      </c>
      <c r="G87" s="8">
        <v>0.03</v>
      </c>
      <c r="H87" s="9">
        <f>H84</f>
        <v>5.5E-2</v>
      </c>
    </row>
    <row r="88" spans="2:8">
      <c r="B88" s="3">
        <v>46870</v>
      </c>
      <c r="C88" s="9">
        <v>0</v>
      </c>
      <c r="D88" s="9">
        <v>0</v>
      </c>
      <c r="E88" s="188">
        <v>6.0285605483625285E-2</v>
      </c>
      <c r="F88" s="188">
        <v>0.12028560548362528</v>
      </c>
      <c r="G88" s="8">
        <v>0.03</v>
      </c>
      <c r="H88" s="9">
        <f>H83</f>
        <v>5.5E-2</v>
      </c>
    </row>
    <row r="89" spans="2:8">
      <c r="B89" s="3">
        <v>46898</v>
      </c>
      <c r="C89" s="9">
        <v>0</v>
      </c>
      <c r="D89" s="9">
        <v>0</v>
      </c>
      <c r="E89" s="188">
        <v>6.0285605483625285E-2</v>
      </c>
      <c r="F89" s="188">
        <v>0.12028560548362528</v>
      </c>
      <c r="G89" s="8">
        <v>0.03</v>
      </c>
      <c r="H89" s="9">
        <f>H82</f>
        <v>5.5E-2</v>
      </c>
    </row>
    <row r="90" spans="2:8">
      <c r="B90" s="3">
        <v>46933</v>
      </c>
      <c r="C90" s="9">
        <v>0</v>
      </c>
      <c r="D90" s="9">
        <v>0</v>
      </c>
      <c r="E90" s="188">
        <v>6.0285605483625285E-2</v>
      </c>
      <c r="F90" s="188">
        <v>0.12028560548362528</v>
      </c>
      <c r="G90" s="8">
        <v>0.03</v>
      </c>
      <c r="H90" s="9">
        <f>H81</f>
        <v>5.5E-2</v>
      </c>
    </row>
    <row r="91" spans="2:8">
      <c r="B91" s="3">
        <v>46959</v>
      </c>
      <c r="C91" s="9">
        <v>0</v>
      </c>
      <c r="D91" s="9">
        <v>0</v>
      </c>
      <c r="E91" s="188">
        <v>6.0285605483625285E-2</v>
      </c>
      <c r="F91" s="188">
        <v>0.12028560548362528</v>
      </c>
      <c r="G91" s="8">
        <v>0.03</v>
      </c>
      <c r="H91" s="9">
        <f>H82</f>
        <v>5.5E-2</v>
      </c>
    </row>
    <row r="92" spans="2:8">
      <c r="B92" s="3">
        <v>46994</v>
      </c>
      <c r="C92" s="9">
        <v>0</v>
      </c>
      <c r="D92" s="9">
        <v>0</v>
      </c>
      <c r="E92" s="188">
        <v>6.0285605483625285E-2</v>
      </c>
      <c r="F92" s="188">
        <v>0.12028560548362528</v>
      </c>
      <c r="G92" s="8">
        <v>0.03</v>
      </c>
      <c r="H92" s="9">
        <f>H83</f>
        <v>5.5E-2</v>
      </c>
    </row>
    <row r="93" spans="2:8">
      <c r="B93" s="3">
        <v>47022</v>
      </c>
      <c r="C93" s="9">
        <v>0</v>
      </c>
      <c r="D93" s="9">
        <v>0</v>
      </c>
      <c r="E93" s="188">
        <v>6.0285605483625285E-2</v>
      </c>
      <c r="F93" s="188">
        <v>0.12028560548362528</v>
      </c>
      <c r="G93" s="8">
        <v>0.03</v>
      </c>
      <c r="H93" s="9">
        <f>H84</f>
        <v>5.5E-2</v>
      </c>
    </row>
    <row r="94" spans="2:8">
      <c r="B94" s="3">
        <v>47052</v>
      </c>
      <c r="C94" s="9">
        <v>0</v>
      </c>
      <c r="D94" s="9">
        <v>0</v>
      </c>
      <c r="E94" s="188">
        <v>6.0285605483625285E-2</v>
      </c>
      <c r="F94" s="188">
        <v>0.12028560548362528</v>
      </c>
      <c r="G94" s="8">
        <v>0.03</v>
      </c>
      <c r="H94" s="9">
        <f>H85</f>
        <v>5.5E-2</v>
      </c>
    </row>
    <row r="95" spans="2:8">
      <c r="B95" s="3">
        <v>47087</v>
      </c>
      <c r="C95" s="9">
        <v>0</v>
      </c>
      <c r="D95" s="9">
        <v>0</v>
      </c>
      <c r="E95" s="188">
        <v>6.0285605483625285E-2</v>
      </c>
      <c r="F95" s="188">
        <v>0.12028560548362528</v>
      </c>
      <c r="G95" s="8">
        <v>0.03</v>
      </c>
      <c r="H95" s="9">
        <f>H84</f>
        <v>5.5E-2</v>
      </c>
    </row>
    <row r="96" spans="2:8">
      <c r="B96" s="3">
        <v>47115</v>
      </c>
      <c r="C96" s="9">
        <v>0</v>
      </c>
      <c r="D96" s="9">
        <v>0</v>
      </c>
      <c r="E96" s="188">
        <v>6.0285605483625285E-2</v>
      </c>
      <c r="F96" s="188">
        <v>0.12028560548362528</v>
      </c>
      <c r="G96" s="8">
        <v>0.03</v>
      </c>
      <c r="H96" s="9">
        <f>H83</f>
        <v>5.5E-2</v>
      </c>
    </row>
    <row r="97" spans="2:8">
      <c r="B97" s="3">
        <v>47143</v>
      </c>
      <c r="C97" s="9">
        <v>0</v>
      </c>
      <c r="D97" s="9">
        <v>0</v>
      </c>
      <c r="E97" s="188">
        <v>6.0285605483625285E-2</v>
      </c>
      <c r="F97" s="188">
        <v>0.12028560548362528</v>
      </c>
      <c r="G97" s="8">
        <v>0.03</v>
      </c>
      <c r="H97" s="9">
        <f>H82</f>
        <v>5.5E-2</v>
      </c>
    </row>
    <row r="98" spans="2:8">
      <c r="B98" s="3">
        <v>47171</v>
      </c>
      <c r="C98" s="9">
        <v>0</v>
      </c>
      <c r="D98" s="9">
        <v>0</v>
      </c>
      <c r="E98" s="188">
        <v>6.0285605483625285E-2</v>
      </c>
      <c r="F98" s="188">
        <v>0.12028560548362528</v>
      </c>
      <c r="G98" s="8">
        <v>0.03</v>
      </c>
      <c r="H98" s="9">
        <f>H83</f>
        <v>5.5E-2</v>
      </c>
    </row>
    <row r="99" spans="2:8">
      <c r="B99" s="3">
        <v>47206</v>
      </c>
      <c r="C99" s="9">
        <v>0</v>
      </c>
      <c r="D99" s="9">
        <v>0</v>
      </c>
      <c r="E99" s="188">
        <v>6.0285605483625285E-2</v>
      </c>
      <c r="F99" s="188">
        <v>0.12028560548362528</v>
      </c>
      <c r="G99" s="8">
        <v>0.03</v>
      </c>
      <c r="H99" s="9">
        <f>H82</f>
        <v>5.5E-2</v>
      </c>
    </row>
    <row r="100" spans="2:8">
      <c r="B100" s="3">
        <v>47234</v>
      </c>
      <c r="C100" s="9">
        <v>0</v>
      </c>
      <c r="D100" s="9">
        <v>0</v>
      </c>
      <c r="E100" s="188">
        <v>6.0285605483625285E-2</v>
      </c>
      <c r="F100" s="188">
        <v>0.12028560548362528</v>
      </c>
      <c r="G100" s="8">
        <v>0.03</v>
      </c>
      <c r="H100" s="9">
        <f>H83</f>
        <v>5.5E-2</v>
      </c>
    </row>
    <row r="101" spans="2:8">
      <c r="B101" s="3">
        <v>47269</v>
      </c>
      <c r="C101" s="9">
        <v>0</v>
      </c>
      <c r="D101" s="9">
        <v>0</v>
      </c>
      <c r="E101" s="188">
        <v>6.0285605483625285E-2</v>
      </c>
      <c r="F101" s="188">
        <v>0.12028560548362528</v>
      </c>
      <c r="G101" s="8">
        <v>0.03</v>
      </c>
      <c r="H101" s="9">
        <f>H82</f>
        <v>5.5E-2</v>
      </c>
    </row>
    <row r="102" spans="2:8">
      <c r="B102" s="3">
        <v>47297</v>
      </c>
      <c r="C102" s="9">
        <v>0</v>
      </c>
      <c r="D102" s="9">
        <v>0</v>
      </c>
      <c r="E102" s="188">
        <v>6.0285605483625285E-2</v>
      </c>
      <c r="F102" s="188">
        <v>0.12028560548362528</v>
      </c>
      <c r="G102" s="8">
        <v>0.03</v>
      </c>
      <c r="H102" s="9">
        <f>H81</f>
        <v>5.5E-2</v>
      </c>
    </row>
    <row r="103" spans="2:8">
      <c r="B103" s="3">
        <v>47325</v>
      </c>
      <c r="C103" s="9">
        <v>0</v>
      </c>
      <c r="D103" s="9">
        <v>0</v>
      </c>
      <c r="E103" s="188">
        <v>6.0285605483625285E-2</v>
      </c>
      <c r="F103" s="188">
        <v>0.12028560548362528</v>
      </c>
      <c r="G103" s="8">
        <v>0.03</v>
      </c>
      <c r="H103" s="9">
        <f>H82</f>
        <v>5.5E-2</v>
      </c>
    </row>
    <row r="104" spans="2:8">
      <c r="B104" s="3">
        <v>47360</v>
      </c>
      <c r="C104" s="9">
        <v>0</v>
      </c>
      <c r="D104" s="9">
        <v>0</v>
      </c>
      <c r="E104" s="188">
        <v>6.0285605483625285E-2</v>
      </c>
      <c r="F104" s="188">
        <v>0.12028560548362528</v>
      </c>
      <c r="G104" s="8">
        <v>0.03</v>
      </c>
      <c r="H104" s="9">
        <f>H83</f>
        <v>5.5E-2</v>
      </c>
    </row>
    <row r="105" spans="2:8">
      <c r="B105" s="3">
        <v>47388</v>
      </c>
      <c r="C105" s="9">
        <v>0</v>
      </c>
      <c r="D105" s="9">
        <v>0</v>
      </c>
      <c r="E105" s="188">
        <v>6.0285605483625285E-2</v>
      </c>
      <c r="F105" s="188">
        <v>0.12028560548362528</v>
      </c>
      <c r="G105" s="8">
        <v>0.03</v>
      </c>
      <c r="H105" s="9">
        <f>H84</f>
        <v>5.5E-2</v>
      </c>
    </row>
    <row r="106" spans="2:8">
      <c r="B106" s="3">
        <v>47416</v>
      </c>
      <c r="C106" s="9">
        <v>0</v>
      </c>
      <c r="D106" s="9">
        <v>0</v>
      </c>
      <c r="E106" s="188">
        <v>6.0285605483625285E-2</v>
      </c>
      <c r="F106" s="188">
        <v>0.12028560548362528</v>
      </c>
      <c r="G106" s="8">
        <v>0.03</v>
      </c>
      <c r="H106" s="9">
        <f>H85</f>
        <v>5.5E-2</v>
      </c>
    </row>
    <row r="107" spans="2:8">
      <c r="B107" s="3">
        <v>47451</v>
      </c>
      <c r="C107" s="9">
        <v>0</v>
      </c>
      <c r="D107" s="9">
        <v>0</v>
      </c>
      <c r="E107" s="188">
        <v>6.0285605483625285E-2</v>
      </c>
      <c r="F107" s="188">
        <v>0.12028560548362528</v>
      </c>
      <c r="G107" s="8">
        <v>0.03</v>
      </c>
      <c r="H107" s="9">
        <f>H84</f>
        <v>5.5E-2</v>
      </c>
    </row>
    <row r="108" spans="2:8">
      <c r="B108" s="3">
        <v>47479</v>
      </c>
      <c r="C108" s="9">
        <v>0</v>
      </c>
      <c r="D108" s="9">
        <v>0</v>
      </c>
      <c r="E108" s="188">
        <v>6.0285605483625285E-2</v>
      </c>
      <c r="F108" s="188">
        <v>0.12028560548362528</v>
      </c>
      <c r="G108" s="8">
        <v>0.03</v>
      </c>
      <c r="H108" s="9">
        <f t="shared" ref="H108:H116" si="1">H83</f>
        <v>5.5E-2</v>
      </c>
    </row>
    <row r="109" spans="2:8">
      <c r="B109" s="3">
        <v>47514</v>
      </c>
      <c r="C109" s="9">
        <v>0</v>
      </c>
      <c r="D109" s="9">
        <v>0</v>
      </c>
      <c r="E109" s="188">
        <v>6.0285605483625285E-2</v>
      </c>
      <c r="F109" s="188">
        <v>0.12028560548362528</v>
      </c>
      <c r="G109" s="8">
        <v>0.03</v>
      </c>
      <c r="H109" s="9">
        <f t="shared" si="1"/>
        <v>5.5E-2</v>
      </c>
    </row>
    <row r="110" spans="2:8">
      <c r="B110" s="3">
        <v>47542</v>
      </c>
      <c r="C110" s="9">
        <v>0</v>
      </c>
      <c r="D110" s="9">
        <v>0</v>
      </c>
      <c r="E110" s="188">
        <v>6.0285605483625285E-2</v>
      </c>
      <c r="F110" s="188">
        <v>0.12028560548362528</v>
      </c>
      <c r="G110" s="8">
        <v>0.03</v>
      </c>
      <c r="H110" s="9">
        <f t="shared" si="1"/>
        <v>5.5E-2</v>
      </c>
    </row>
    <row r="111" spans="2:8">
      <c r="B111" s="3">
        <v>47570</v>
      </c>
      <c r="C111" s="9">
        <v>0</v>
      </c>
      <c r="D111" s="9">
        <v>0</v>
      </c>
      <c r="E111" s="188">
        <v>6.0285605483625285E-2</v>
      </c>
      <c r="F111" s="188">
        <v>0.12028560548362528</v>
      </c>
      <c r="G111" s="8">
        <v>0.03</v>
      </c>
      <c r="H111" s="9">
        <f t="shared" si="1"/>
        <v>5.5E-2</v>
      </c>
    </row>
    <row r="112" spans="2:8">
      <c r="B112" s="3">
        <v>47598</v>
      </c>
      <c r="C112" s="9">
        <v>0</v>
      </c>
      <c r="D112" s="9">
        <v>0</v>
      </c>
      <c r="E112" s="188">
        <v>6.0285605483625285E-2</v>
      </c>
      <c r="F112" s="188">
        <v>0.12028560548362528</v>
      </c>
      <c r="G112" s="8">
        <v>0.03</v>
      </c>
      <c r="H112" s="9">
        <f t="shared" si="1"/>
        <v>5.5E-2</v>
      </c>
    </row>
    <row r="113" spans="2:8">
      <c r="B113" s="3">
        <v>47633</v>
      </c>
      <c r="C113" s="9">
        <v>0</v>
      </c>
      <c r="D113" s="9">
        <v>0</v>
      </c>
      <c r="E113" s="188">
        <v>6.0285605483625285E-2</v>
      </c>
      <c r="F113" s="188">
        <v>0.12028560548362528</v>
      </c>
      <c r="G113" s="8">
        <v>0.03</v>
      </c>
      <c r="H113" s="9">
        <f t="shared" si="1"/>
        <v>5.5E-2</v>
      </c>
    </row>
    <row r="114" spans="2:8">
      <c r="B114" s="3">
        <v>47661</v>
      </c>
      <c r="C114" s="9">
        <v>0</v>
      </c>
      <c r="D114" s="9">
        <v>0</v>
      </c>
      <c r="E114" s="188">
        <v>6.0285605483625285E-2</v>
      </c>
      <c r="F114" s="188">
        <v>0.12028560548362528</v>
      </c>
      <c r="G114" s="8">
        <v>0.03</v>
      </c>
      <c r="H114" s="9">
        <f t="shared" si="1"/>
        <v>5.5E-2</v>
      </c>
    </row>
    <row r="115" spans="2:8">
      <c r="B115" s="3">
        <v>47689</v>
      </c>
      <c r="C115" s="9">
        <v>0</v>
      </c>
      <c r="D115" s="9">
        <v>0</v>
      </c>
      <c r="E115" s="188">
        <v>6.0285605483625285E-2</v>
      </c>
      <c r="F115" s="188">
        <v>0.12028560548362528</v>
      </c>
      <c r="G115" s="8">
        <v>0.03</v>
      </c>
      <c r="H115" s="9">
        <f t="shared" si="1"/>
        <v>5.5E-2</v>
      </c>
    </row>
    <row r="116" spans="2:8">
      <c r="B116" s="3">
        <v>47724</v>
      </c>
      <c r="C116" s="9">
        <v>0</v>
      </c>
      <c r="D116" s="9">
        <v>0</v>
      </c>
      <c r="E116" s="188">
        <v>6.0285605483625285E-2</v>
      </c>
      <c r="F116" s="188">
        <v>0.12028560548362528</v>
      </c>
      <c r="G116" s="8">
        <v>0.03</v>
      </c>
      <c r="H116" s="9">
        <f t="shared" si="1"/>
        <v>5.5E-2</v>
      </c>
    </row>
    <row r="117" spans="2:8">
      <c r="B117" s="3">
        <v>47752</v>
      </c>
      <c r="C117" s="9">
        <v>0</v>
      </c>
      <c r="D117" s="9">
        <v>0</v>
      </c>
      <c r="E117" s="188">
        <v>6.0285605483625285E-2</v>
      </c>
      <c r="F117" s="188">
        <v>0.12028560548362528</v>
      </c>
      <c r="G117" s="8">
        <v>0.03</v>
      </c>
      <c r="H117" s="9">
        <f t="shared" ref="H117:H124" si="2">H91</f>
        <v>5.5E-2</v>
      </c>
    </row>
    <row r="118" spans="2:8">
      <c r="B118" s="3">
        <v>47787</v>
      </c>
      <c r="C118" s="9">
        <v>0</v>
      </c>
      <c r="D118" s="9">
        <v>0</v>
      </c>
      <c r="E118" s="188">
        <v>6.0285605483625285E-2</v>
      </c>
      <c r="F118" s="188">
        <v>0.12028560548362528</v>
      </c>
      <c r="G118" s="8">
        <v>0.03</v>
      </c>
      <c r="H118" s="9">
        <f t="shared" si="2"/>
        <v>5.5E-2</v>
      </c>
    </row>
    <row r="119" spans="2:8">
      <c r="B119" s="3">
        <v>47815</v>
      </c>
      <c r="C119" s="9">
        <v>0</v>
      </c>
      <c r="D119" s="9">
        <v>0</v>
      </c>
      <c r="E119" s="188">
        <v>6.0285605483625285E-2</v>
      </c>
      <c r="F119" s="188">
        <v>0.12028560548362528</v>
      </c>
      <c r="G119" s="8">
        <v>0.03</v>
      </c>
      <c r="H119" s="9">
        <f t="shared" si="2"/>
        <v>5.5E-2</v>
      </c>
    </row>
    <row r="120" spans="2:8">
      <c r="B120" s="3">
        <v>47843</v>
      </c>
      <c r="C120" s="9">
        <v>0</v>
      </c>
      <c r="D120" s="9">
        <v>0</v>
      </c>
      <c r="E120" s="188">
        <v>6.0285605483625285E-2</v>
      </c>
      <c r="F120" s="188">
        <v>0.12028560548362528</v>
      </c>
      <c r="G120" s="8">
        <v>0.03</v>
      </c>
      <c r="H120" s="9">
        <f t="shared" si="2"/>
        <v>5.5E-2</v>
      </c>
    </row>
    <row r="121" spans="2:8">
      <c r="B121" s="3">
        <v>47878</v>
      </c>
      <c r="C121" s="9">
        <v>0</v>
      </c>
      <c r="D121" s="9">
        <v>0</v>
      </c>
      <c r="E121" s="188">
        <v>6.0285605483625285E-2</v>
      </c>
      <c r="F121" s="188">
        <v>0.12028560548362528</v>
      </c>
      <c r="G121" s="8">
        <v>0.03</v>
      </c>
      <c r="H121" s="9">
        <f t="shared" si="2"/>
        <v>5.5E-2</v>
      </c>
    </row>
    <row r="122" spans="2:8">
      <c r="B122" s="3">
        <v>47906</v>
      </c>
      <c r="C122" s="9">
        <v>0</v>
      </c>
      <c r="D122" s="9">
        <v>0</v>
      </c>
      <c r="E122" s="188">
        <v>6.0285605483625285E-2</v>
      </c>
      <c r="F122" s="188">
        <v>0.12028560548362528</v>
      </c>
      <c r="G122" s="8">
        <v>0.03</v>
      </c>
      <c r="H122" s="9">
        <f t="shared" si="2"/>
        <v>5.5E-2</v>
      </c>
    </row>
    <row r="123" spans="2:8">
      <c r="B123" s="3">
        <v>47934</v>
      </c>
      <c r="C123" s="9">
        <v>0</v>
      </c>
      <c r="D123" s="9">
        <v>0</v>
      </c>
      <c r="E123" s="188">
        <v>6.0285605483625285E-2</v>
      </c>
      <c r="F123" s="188">
        <v>0.12028560548362528</v>
      </c>
      <c r="G123" s="8">
        <v>0.03</v>
      </c>
      <c r="H123" s="9">
        <f t="shared" si="2"/>
        <v>5.5E-2</v>
      </c>
    </row>
    <row r="124" spans="2:8">
      <c r="B124" s="3">
        <v>47962</v>
      </c>
      <c r="C124" s="9">
        <v>0</v>
      </c>
      <c r="D124" s="9">
        <v>0</v>
      </c>
      <c r="E124" s="188">
        <v>6.0285605483625285E-2</v>
      </c>
      <c r="F124" s="188">
        <v>0.12028560548362528</v>
      </c>
      <c r="G124" s="8">
        <v>0.03</v>
      </c>
      <c r="H124" s="9">
        <f t="shared" si="2"/>
        <v>5.5E-2</v>
      </c>
    </row>
  </sheetData>
  <autoFilter ref="B1:H11" xr:uid="{00000000-0009-0000-0000-000006000000}">
    <sortState xmlns:xlrd2="http://schemas.microsoft.com/office/spreadsheetml/2017/richdata2" ref="B2:H38">
      <sortCondition ref="B1:B18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1:R87"/>
  <sheetViews>
    <sheetView showGridLines="0" topLeftCell="A30" zoomScaleNormal="100" workbookViewId="0">
      <selection activeCell="H45" sqref="H45"/>
    </sheetView>
  </sheetViews>
  <sheetFormatPr defaultColWidth="8.73046875" defaultRowHeight="13.15"/>
  <cols>
    <col min="1" max="2" width="2.86328125" style="50" customWidth="1"/>
    <col min="3" max="3" width="24.73046875" style="50" customWidth="1"/>
    <col min="4" max="5" width="8.73046875" style="50"/>
    <col min="6" max="6" width="2.86328125" style="50" customWidth="1"/>
    <col min="7" max="7" width="32.3984375" style="50" bestFit="1" customWidth="1"/>
    <col min="8" max="8" width="8.73046875" style="50"/>
    <col min="9" max="9" width="6.265625" style="50" customWidth="1"/>
    <col min="10" max="10" width="12.73046875" style="50" customWidth="1"/>
    <col min="11" max="11" width="14.73046875" style="50" bestFit="1" customWidth="1"/>
    <col min="12" max="12" width="12.3984375" style="50" customWidth="1"/>
    <col min="13" max="13" width="4.265625" style="50" customWidth="1"/>
    <col min="14" max="14" width="2.86328125" style="50" customWidth="1"/>
    <col min="15" max="15" width="9.1328125" style="50" customWidth="1"/>
    <col min="16" max="16" width="15.59765625" style="50" customWidth="1"/>
    <col min="17" max="17" width="16.73046875" style="50" customWidth="1"/>
    <col min="18" max="18" width="8" style="50" customWidth="1"/>
    <col min="19" max="16384" width="8.73046875" style="50"/>
  </cols>
  <sheetData>
    <row r="1" spans="2:13" hidden="1"/>
    <row r="2" spans="2:13" hidden="1">
      <c r="B2" s="51"/>
      <c r="C2" s="52"/>
      <c r="D2" s="52"/>
      <c r="E2" s="52"/>
      <c r="F2" s="52"/>
      <c r="G2" s="52"/>
      <c r="H2" s="52"/>
      <c r="I2" s="52"/>
      <c r="J2" s="52"/>
      <c r="K2" s="52"/>
      <c r="L2" s="52"/>
      <c r="M2" s="53"/>
    </row>
    <row r="3" spans="2:13" hidden="1">
      <c r="B3" s="54"/>
      <c r="C3" s="55" t="s">
        <v>120</v>
      </c>
      <c r="M3" s="56"/>
    </row>
    <row r="4" spans="2:13" hidden="1">
      <c r="B4" s="54"/>
      <c r="M4" s="56"/>
    </row>
    <row r="5" spans="2:13" hidden="1">
      <c r="B5" s="54"/>
      <c r="C5" s="55" t="s">
        <v>123</v>
      </c>
      <c r="G5" s="55" t="s">
        <v>111</v>
      </c>
      <c r="M5" s="56"/>
    </row>
    <row r="6" spans="2:13" hidden="1">
      <c r="B6" s="54"/>
      <c r="C6" s="55"/>
      <c r="M6" s="56"/>
    </row>
    <row r="7" spans="2:13" hidden="1">
      <c r="B7" s="54"/>
      <c r="C7" s="57" t="s">
        <v>109</v>
      </c>
      <c r="D7" s="58">
        <v>100</v>
      </c>
      <c r="E7" s="109"/>
      <c r="G7" s="57" t="s">
        <v>8</v>
      </c>
      <c r="H7" s="59">
        <v>0.63914822783908642</v>
      </c>
      <c r="J7" s="61"/>
      <c r="K7" s="61"/>
      <c r="L7" s="61"/>
      <c r="M7" s="56"/>
    </row>
    <row r="8" spans="2:13" hidden="1">
      <c r="B8" s="54"/>
      <c r="C8" s="57" t="s">
        <v>110</v>
      </c>
      <c r="D8" s="62">
        <v>2.1</v>
      </c>
      <c r="E8" s="110"/>
      <c r="G8" s="57" t="s">
        <v>108</v>
      </c>
      <c r="H8" s="63">
        <v>6.8733006542540755E-7</v>
      </c>
      <c r="J8" s="61"/>
      <c r="K8" s="61"/>
      <c r="L8" s="61"/>
      <c r="M8" s="56"/>
    </row>
    <row r="9" spans="2:13" hidden="1">
      <c r="B9" s="54"/>
      <c r="C9" s="57" t="s">
        <v>122</v>
      </c>
      <c r="D9" s="64">
        <v>0.06</v>
      </c>
      <c r="E9" s="111"/>
      <c r="G9" s="57" t="s">
        <v>124</v>
      </c>
      <c r="H9" s="65">
        <v>0.19724202083419384</v>
      </c>
      <c r="M9" s="56"/>
    </row>
    <row r="10" spans="2:13" hidden="1">
      <c r="B10" s="54"/>
      <c r="C10" s="57" t="s">
        <v>101</v>
      </c>
      <c r="D10" s="64">
        <v>4.9743647566889301E-2</v>
      </c>
      <c r="E10" s="111"/>
      <c r="G10" s="57" t="s">
        <v>116</v>
      </c>
      <c r="H10" s="65">
        <v>0</v>
      </c>
      <c r="M10" s="56"/>
    </row>
    <row r="11" spans="2:13" hidden="1">
      <c r="B11" s="54"/>
      <c r="C11" s="57" t="s">
        <v>40</v>
      </c>
      <c r="D11" s="65">
        <v>3.6025181426914112E-2</v>
      </c>
      <c r="E11" s="112"/>
      <c r="G11" s="57" t="s">
        <v>91</v>
      </c>
      <c r="H11" s="66">
        <v>1.1498264902244289E-11</v>
      </c>
      <c r="M11" s="56"/>
    </row>
    <row r="12" spans="2:13" hidden="1">
      <c r="B12" s="54"/>
      <c r="C12" s="57" t="s">
        <v>102</v>
      </c>
      <c r="D12" s="65">
        <v>1.2999999999999999E-3</v>
      </c>
      <c r="E12" s="112"/>
      <c r="G12" s="57" t="s">
        <v>114</v>
      </c>
      <c r="H12" s="65">
        <v>4.5824986750494401E-2</v>
      </c>
      <c r="M12" s="56"/>
    </row>
    <row r="13" spans="2:13" hidden="1">
      <c r="B13" s="54"/>
      <c r="C13" s="57" t="s">
        <v>103</v>
      </c>
      <c r="D13" s="65">
        <v>2.5000000000000001E-3</v>
      </c>
      <c r="E13" s="112"/>
      <c r="G13" s="57" t="s">
        <v>92</v>
      </c>
      <c r="H13" s="66">
        <v>-2.2614382578634684E-11</v>
      </c>
      <c r="M13" s="56"/>
    </row>
    <row r="14" spans="2:13" hidden="1">
      <c r="B14" s="54"/>
      <c r="C14" s="57" t="s">
        <v>112</v>
      </c>
      <c r="D14" s="68">
        <f>D7*(1-SUM(D10:D13))</f>
        <v>91.043117100619654</v>
      </c>
      <c r="E14" s="113"/>
      <c r="M14" s="56"/>
    </row>
    <row r="15" spans="2:13" hidden="1">
      <c r="B15" s="54"/>
      <c r="C15" s="57" t="s">
        <v>55</v>
      </c>
      <c r="D15" s="69">
        <v>0.17730191026407432</v>
      </c>
      <c r="E15" s="114"/>
      <c r="G15" s="55" t="s">
        <v>119</v>
      </c>
      <c r="M15" s="56"/>
    </row>
    <row r="16" spans="2:13" hidden="1">
      <c r="B16" s="54"/>
      <c r="C16" s="57" t="s">
        <v>113</v>
      </c>
      <c r="D16" s="68">
        <v>1.7730191026407431E-10</v>
      </c>
      <c r="E16" s="113"/>
      <c r="M16" s="56"/>
    </row>
    <row r="17" spans="2:18" hidden="1">
      <c r="B17" s="54"/>
      <c r="C17" s="57" t="s">
        <v>77</v>
      </c>
      <c r="D17" s="65">
        <v>9.5000000000000001E-2</v>
      </c>
      <c r="E17" s="112"/>
      <c r="G17" s="57" t="s">
        <v>118</v>
      </c>
      <c r="H17" s="60">
        <v>0.3</v>
      </c>
      <c r="M17" s="56"/>
    </row>
    <row r="18" spans="2:18" hidden="1">
      <c r="B18" s="54"/>
      <c r="C18" s="57" t="s">
        <v>105</v>
      </c>
      <c r="D18" s="65">
        <v>5.5E-2</v>
      </c>
      <c r="E18" s="112"/>
      <c r="G18" s="57" t="s">
        <v>125</v>
      </c>
      <c r="H18" s="58">
        <v>1.9174446835172593E-10</v>
      </c>
      <c r="M18" s="56"/>
    </row>
    <row r="19" spans="2:18" hidden="1">
      <c r="B19" s="54"/>
      <c r="C19" s="57" t="s">
        <v>106</v>
      </c>
      <c r="D19" s="70">
        <v>1160</v>
      </c>
      <c r="E19" s="106"/>
      <c r="G19" s="57" t="s">
        <v>121</v>
      </c>
      <c r="H19" s="67">
        <f>D17-D18</f>
        <v>0.04</v>
      </c>
      <c r="I19" s="72"/>
      <c r="M19" s="56"/>
    </row>
    <row r="20" spans="2:18" hidden="1">
      <c r="B20" s="54"/>
      <c r="C20" s="57" t="s">
        <v>107</v>
      </c>
      <c r="D20" s="68">
        <f>FV(D17,D19/365,0,-D14)+FV(D18,D19/365,0,-D15*D7)</f>
        <v>142.49999999999991</v>
      </c>
      <c r="E20" s="113"/>
      <c r="H20" s="72"/>
      <c r="I20" s="72"/>
      <c r="M20" s="56"/>
    </row>
    <row r="21" spans="2:18" hidden="1">
      <c r="B21" s="54"/>
      <c r="C21" s="57" t="s">
        <v>64</v>
      </c>
      <c r="D21" s="78">
        <f>((D20/D7)^(365/1160))-1</f>
        <v>0.1178888968668943</v>
      </c>
      <c r="E21" s="79"/>
      <c r="H21" s="72"/>
      <c r="I21" s="72"/>
      <c r="M21" s="56"/>
    </row>
    <row r="22" spans="2:18" hidden="1">
      <c r="B22" s="54"/>
      <c r="C22" s="50" t="s">
        <v>117</v>
      </c>
      <c r="D22" s="79"/>
      <c r="E22" s="79"/>
      <c r="H22" s="72"/>
      <c r="I22" s="72"/>
      <c r="M22" s="56"/>
    </row>
    <row r="23" spans="2:18" ht="13.5" hidden="1" thickBot="1">
      <c r="B23" s="73"/>
      <c r="C23" s="74"/>
      <c r="D23" s="74"/>
      <c r="E23" s="74"/>
      <c r="F23" s="74"/>
      <c r="G23" s="75"/>
      <c r="H23" s="75"/>
      <c r="I23" s="75"/>
      <c r="J23" s="74"/>
      <c r="K23" s="74"/>
      <c r="L23" s="74"/>
      <c r="M23" s="76"/>
    </row>
    <row r="24" spans="2:18" hidden="1">
      <c r="G24" s="72"/>
      <c r="H24" s="72"/>
      <c r="I24" s="72"/>
    </row>
    <row r="25" spans="2:18" ht="18" customHeight="1" thickBot="1"/>
    <row r="26" spans="2:18" ht="18" customHeight="1"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3"/>
      <c r="O26" s="314" t="s">
        <v>180</v>
      </c>
      <c r="P26" s="316" t="s">
        <v>181</v>
      </c>
      <c r="Q26" s="318" t="s">
        <v>182</v>
      </c>
      <c r="R26"/>
    </row>
    <row r="27" spans="2:18" ht="18" customHeight="1" thickBot="1">
      <c r="B27" s="54"/>
      <c r="C27" s="55" t="str">
        <f>"5 Year Sensex Accelerator (SENIOR Debt) (For 100 Cr.) - "&amp;H44&amp;"x Leverage"</f>
        <v>5 Year Sensex Accelerator (SENIOR Debt) (For 100 Cr.) - 1.6x Leverage</v>
      </c>
      <c r="M27" s="56"/>
      <c r="O27" s="315"/>
      <c r="P27" s="317"/>
      <c r="Q27" s="319"/>
      <c r="R27"/>
    </row>
    <row r="28" spans="2:18" ht="12.95" customHeight="1" thickBot="1">
      <c r="B28" s="54"/>
      <c r="M28" s="56"/>
      <c r="O28" s="184">
        <f ca="1">(D36*D42+D35*D46)/(D36+D35)</f>
        <v>7.4880164075149122E-2</v>
      </c>
      <c r="P28" s="185">
        <f ca="1">2*(((1+O28)^(1/2))-1)</f>
        <v>7.3528552082318566E-2</v>
      </c>
      <c r="Q28" s="186">
        <f ca="1">4*(((1+O28)^(1/4))-1)</f>
        <v>7.2864890547997163E-2</v>
      </c>
      <c r="R28"/>
    </row>
    <row r="29" spans="2:18" ht="14.25">
      <c r="B29" s="54"/>
      <c r="C29" s="55" t="s">
        <v>123</v>
      </c>
      <c r="G29" s="55" t="s">
        <v>111</v>
      </c>
      <c r="J29" s="55" t="s">
        <v>126</v>
      </c>
      <c r="K29" s="55"/>
      <c r="M29" s="56"/>
      <c r="P29"/>
      <c r="Q29"/>
      <c r="R29"/>
    </row>
    <row r="30" spans="2:18" ht="12.95" customHeight="1">
      <c r="B30" s="54"/>
      <c r="C30" s="55"/>
      <c r="M30" s="56"/>
      <c r="P30"/>
      <c r="Q30"/>
      <c r="R30"/>
    </row>
    <row r="31" spans="2:18" ht="12.95" customHeight="1">
      <c r="B31" s="54"/>
      <c r="C31" s="57" t="s">
        <v>109</v>
      </c>
      <c r="D31" s="58">
        <v>100</v>
      </c>
      <c r="E31" s="109"/>
      <c r="G31" s="57" t="s">
        <v>8</v>
      </c>
      <c r="H31" s="59">
        <f ca="1">'Summary Sheet'!F15</f>
        <v>1.2963957762222322</v>
      </c>
      <c r="J31" s="80" t="s">
        <v>208</v>
      </c>
      <c r="K31" s="80" t="s">
        <v>127</v>
      </c>
      <c r="L31" s="80" t="s">
        <v>128</v>
      </c>
      <c r="M31" s="56"/>
      <c r="P31"/>
      <c r="Q31"/>
      <c r="R31"/>
    </row>
    <row r="32" spans="2:18" ht="14.25">
      <c r="B32" s="54"/>
      <c r="C32" s="115" t="s">
        <v>137</v>
      </c>
      <c r="D32" s="116">
        <f>$D$31*E32</f>
        <v>7.949885423824389</v>
      </c>
      <c r="E32" s="65">
        <f>'Summary Sheet'!E10</f>
        <v>7.9498854238243891E-2</v>
      </c>
      <c r="G32" s="57" t="s">
        <v>151</v>
      </c>
      <c r="H32" s="63">
        <f ca="1">'Summary Sheet'!E15</f>
        <v>16880.373132752149</v>
      </c>
      <c r="J32" s="305">
        <v>0.37</v>
      </c>
      <c r="K32" s="305">
        <f>IF(J32&gt;=-15%,MIN(102.5%,MAX(0%,(J32-25%)*100%)+MAX(0%,(J32-27%)*905%)),IF(J32&gt;=-90%,MAX(-100%,MAX((-30%*1.6),J32*1.6)+MIN(0%,(J32+30%)*0.6)),J32))</f>
        <v>1.0249999999999999</v>
      </c>
      <c r="L32" s="305">
        <f t="shared" ref="L32:L53" si="0">RATE($D$41/365,0,-1,1*(1+K32))</f>
        <v>0.14196325933715601</v>
      </c>
      <c r="M32" s="56"/>
      <c r="O32" s="112">
        <f>K32-K33</f>
        <v>0.10050000000000014</v>
      </c>
      <c r="P32"/>
      <c r="Q32"/>
      <c r="R32"/>
    </row>
    <row r="33" spans="2:18" ht="14.25">
      <c r="B33" s="54"/>
      <c r="C33" s="115" t="s">
        <v>138</v>
      </c>
      <c r="D33" s="116">
        <f>$D$31*E33</f>
        <v>0.13</v>
      </c>
      <c r="E33" s="65">
        <f>Pricer!B9</f>
        <v>1.2999999999999999E-3</v>
      </c>
      <c r="G33" s="57" t="s">
        <v>147</v>
      </c>
      <c r="H33" s="63">
        <f ca="1">'Summary Sheet'!K23*100000</f>
        <v>-12809.6739179412</v>
      </c>
      <c r="J33" s="82">
        <v>0.36</v>
      </c>
      <c r="K33" s="82">
        <f t="shared" ref="K33:K53" si="1">IF(J33&gt;=-15%,MIN(102.5%,MAX(0%,(J33-25%)*100%)+MAX(0%,(J33-27%)*905%)),IF(J33&gt;=-90%,MAX(-100%,MAX((-30%*1.6),J33*1.6)+MIN(0%,(J33+30%)*0.6)),J33))</f>
        <v>0.92449999999999977</v>
      </c>
      <c r="L33" s="82">
        <f t="shared" si="0"/>
        <v>0.13107864703841235</v>
      </c>
      <c r="M33" s="83"/>
      <c r="O33" s="112">
        <f t="shared" ref="O33:O42" si="2">K33-K34</f>
        <v>0.10050000000000014</v>
      </c>
      <c r="P33"/>
      <c r="Q33"/>
      <c r="R33"/>
    </row>
    <row r="34" spans="2:18" ht="14.25">
      <c r="B34" s="54"/>
      <c r="C34" s="115" t="s">
        <v>139</v>
      </c>
      <c r="D34" s="116">
        <f>$D$31*E34</f>
        <v>2.25</v>
      </c>
      <c r="E34" s="65">
        <f>Pricer!B8</f>
        <v>2.2499999999999999E-2</v>
      </c>
      <c r="G34" s="57" t="s">
        <v>148</v>
      </c>
      <c r="H34" s="66">
        <f ca="1">'Summary Sheet'!M23</f>
        <v>4.5548124350394916</v>
      </c>
      <c r="J34" s="82">
        <v>0.35</v>
      </c>
      <c r="K34" s="82">
        <f t="shared" si="1"/>
        <v>0.82399999999999962</v>
      </c>
      <c r="L34" s="82">
        <f t="shared" si="0"/>
        <v>0.11972233848478296</v>
      </c>
      <c r="M34" s="84"/>
      <c r="O34" s="112">
        <f t="shared" si="2"/>
        <v>0.10049999999999959</v>
      </c>
      <c r="P34"/>
      <c r="Q34"/>
      <c r="R34"/>
    </row>
    <row r="35" spans="2:18" ht="14.25">
      <c r="B35" s="54"/>
      <c r="C35" s="115" t="s">
        <v>140</v>
      </c>
      <c r="D35" s="116">
        <f ca="1">Pricer!V5/10000000</f>
        <v>32.307971428050621</v>
      </c>
      <c r="G35" s="57" t="s">
        <v>149</v>
      </c>
      <c r="H35" s="63">
        <f ca="1">H33*'Summary Sheet'!M24</f>
        <v>2512.0931880824019</v>
      </c>
      <c r="J35" s="304">
        <v>0.34</v>
      </c>
      <c r="K35" s="304">
        <f t="shared" si="1"/>
        <v>0.72350000000000003</v>
      </c>
      <c r="L35" s="304">
        <f t="shared" si="0"/>
        <v>0.10784612587442793</v>
      </c>
      <c r="M35" s="56"/>
      <c r="O35" s="112">
        <f t="shared" si="2"/>
        <v>0.10050000000000003</v>
      </c>
      <c r="P35"/>
      <c r="Q35"/>
      <c r="R35"/>
    </row>
    <row r="36" spans="2:18" ht="14.25">
      <c r="B36" s="54"/>
      <c r="C36" s="57" t="s">
        <v>195</v>
      </c>
      <c r="D36" s="68">
        <f ca="1">Pricer!J5/10000000</f>
        <v>57.362143148124979</v>
      </c>
      <c r="E36" s="260"/>
      <c r="G36" s="57" t="s">
        <v>150</v>
      </c>
      <c r="H36" s="63">
        <f ca="1">H32-H35</f>
        <v>14368.279944669746</v>
      </c>
      <c r="J36" s="103">
        <v>0.33</v>
      </c>
      <c r="K36" s="103">
        <f t="shared" si="1"/>
        <v>0.623</v>
      </c>
      <c r="L36" s="103">
        <f t="shared" si="0"/>
        <v>9.5393695359553471E-2</v>
      </c>
      <c r="M36" s="56"/>
      <c r="N36" s="182"/>
      <c r="O36" s="112">
        <f t="shared" si="2"/>
        <v>0.10050000000000003</v>
      </c>
      <c r="P36"/>
      <c r="Q36"/>
      <c r="R36"/>
    </row>
    <row r="37" spans="2:18" ht="14.25">
      <c r="B37" s="54"/>
      <c r="C37" s="57" t="s">
        <v>113</v>
      </c>
      <c r="D37" s="66">
        <f ca="1">Pricer!K5/10000000</f>
        <v>50.672827690045651</v>
      </c>
      <c r="E37" s="112"/>
      <c r="G37" s="57" t="s">
        <v>124</v>
      </c>
      <c r="H37" s="65">
        <f ca="1">'Summary Sheet'!G15</f>
        <v>7.8071526742220398E-2</v>
      </c>
      <c r="J37" s="103">
        <v>0.32</v>
      </c>
      <c r="K37" s="103">
        <f t="shared" si="1"/>
        <v>0.52249999999999996</v>
      </c>
      <c r="L37" s="103">
        <f t="shared" si="0"/>
        <v>8.2298660940983606E-2</v>
      </c>
      <c r="M37" s="56"/>
      <c r="N37" s="182"/>
      <c r="O37" s="112">
        <f t="shared" si="2"/>
        <v>0.10050000000000014</v>
      </c>
      <c r="P37"/>
      <c r="Q37"/>
      <c r="R37"/>
    </row>
    <row r="38" spans="2:18" ht="14.25">
      <c r="B38" s="54"/>
      <c r="E38" s="112"/>
      <c r="G38" s="57" t="s">
        <v>91</v>
      </c>
      <c r="H38" s="66">
        <f ca="1">'Summary Sheet'!H15</f>
        <v>0.54314978947936943</v>
      </c>
      <c r="J38" s="103">
        <v>0.31</v>
      </c>
      <c r="K38" s="103">
        <f t="shared" si="1"/>
        <v>0.42199999999999982</v>
      </c>
      <c r="L38" s="103">
        <f t="shared" si="0"/>
        <v>6.8481955250884866E-2</v>
      </c>
      <c r="M38" s="56"/>
      <c r="N38" s="182"/>
      <c r="O38" s="112">
        <f t="shared" si="2"/>
        <v>0.10050000000000009</v>
      </c>
      <c r="P38"/>
      <c r="Q38"/>
      <c r="R38"/>
    </row>
    <row r="39" spans="2:18" ht="14.25">
      <c r="B39" s="54"/>
      <c r="C39" s="55" t="s">
        <v>191</v>
      </c>
      <c r="E39" s="112"/>
      <c r="G39" s="57" t="s">
        <v>114</v>
      </c>
      <c r="H39" s="65">
        <f ca="1">'Summary Sheet'!I15</f>
        <v>5.4999999999999993E-2</v>
      </c>
      <c r="J39" s="103">
        <v>0.3</v>
      </c>
      <c r="K39" s="103">
        <f t="shared" si="1"/>
        <v>0.32149999999999973</v>
      </c>
      <c r="L39" s="103">
        <f t="shared" si="0"/>
        <v>5.384830438710738E-2</v>
      </c>
      <c r="M39" s="56"/>
      <c r="O39" s="112">
        <f t="shared" si="2"/>
        <v>0.10050000000000009</v>
      </c>
      <c r="P39"/>
      <c r="Q39"/>
      <c r="R39"/>
    </row>
    <row r="40" spans="2:18" ht="14.25">
      <c r="B40" s="54"/>
      <c r="C40" s="55"/>
      <c r="E40" s="112"/>
      <c r="G40" s="57" t="s">
        <v>92</v>
      </c>
      <c r="H40" s="66">
        <f ca="1">'Summary Sheet'!J15</f>
        <v>-7.0884482095361765</v>
      </c>
      <c r="J40" s="103">
        <v>0.28999999999999998</v>
      </c>
      <c r="K40" s="103">
        <f t="shared" si="1"/>
        <v>0.22099999999999964</v>
      </c>
      <c r="L40" s="103">
        <f t="shared" si="0"/>
        <v>3.828136759973845E-2</v>
      </c>
      <c r="M40" s="56"/>
      <c r="O40" s="112">
        <f t="shared" si="2"/>
        <v>0.10049999999999952</v>
      </c>
      <c r="P40"/>
      <c r="Q40"/>
      <c r="R40"/>
    </row>
    <row r="41" spans="2:18" ht="14.25">
      <c r="B41" s="54"/>
      <c r="C41" s="57" t="s">
        <v>106</v>
      </c>
      <c r="D41" s="70">
        <f>'Summary Sheet'!O10</f>
        <v>1940</v>
      </c>
      <c r="E41" s="112"/>
      <c r="G41" s="125" t="str">
        <f>"Vega Hedge Computation done using - "&amp;'Summary Sheet'!H23&amp;" "&amp;'Summary Sheet'!J23&amp;" "&amp;TEXT('Summary Sheet'!I23,"dd-mmm-yy")</f>
        <v>Vega Hedge Computation done using - 76800 P 25-Jul-30</v>
      </c>
      <c r="J41" s="103">
        <v>0.28000000000000003</v>
      </c>
      <c r="K41" s="103">
        <f t="shared" si="1"/>
        <v>0.12050000000000012</v>
      </c>
      <c r="L41" s="103">
        <f t="shared" si="0"/>
        <v>2.1636878464705699E-2</v>
      </c>
      <c r="M41" s="56"/>
      <c r="O41" s="112">
        <f t="shared" si="2"/>
        <v>0.1005000000000001</v>
      </c>
      <c r="P41"/>
      <c r="Q41"/>
      <c r="R41"/>
    </row>
    <row r="42" spans="2:18">
      <c r="B42" s="54"/>
      <c r="C42" s="81" t="s">
        <v>192</v>
      </c>
      <c r="D42" s="97">
        <f>'Summary Sheet'!C4</f>
        <v>0.08</v>
      </c>
      <c r="E42" s="112"/>
      <c r="J42" s="103">
        <v>0.27</v>
      </c>
      <c r="K42" s="103">
        <f t="shared" si="1"/>
        <v>2.0000000000000018E-2</v>
      </c>
      <c r="L42" s="103">
        <f t="shared" si="0"/>
        <v>3.7327012846842585E-3</v>
      </c>
      <c r="M42" s="56"/>
      <c r="O42" s="112">
        <f t="shared" si="2"/>
        <v>2.0000000000000018E-2</v>
      </c>
    </row>
    <row r="43" spans="2:18">
      <c r="B43" s="54"/>
      <c r="C43" s="261" t="s">
        <v>196</v>
      </c>
      <c r="D43" s="68">
        <f ca="1">D36*((1+D42)^(D41/365))</f>
        <v>86.35250065067325</v>
      </c>
      <c r="E43" s="112"/>
      <c r="G43" s="55"/>
      <c r="J43" s="102">
        <v>0.25</v>
      </c>
      <c r="K43" s="102">
        <f t="shared" si="1"/>
        <v>0</v>
      </c>
      <c r="L43" s="102">
        <f t="shared" si="0"/>
        <v>5.6788365251504496E-16</v>
      </c>
      <c r="M43" s="56"/>
    </row>
    <row r="44" spans="2:18">
      <c r="B44" s="54"/>
      <c r="C44" s="81" t="s">
        <v>193</v>
      </c>
      <c r="D44" s="97">
        <f>'Summary Sheet'!C5</f>
        <v>6.5000000000000002E-2</v>
      </c>
      <c r="E44" s="112"/>
      <c r="G44" s="81" t="s">
        <v>110</v>
      </c>
      <c r="H44" s="118">
        <f>'Summary Sheet'!N10</f>
        <v>1.6</v>
      </c>
      <c r="J44" s="102">
        <v>0.22</v>
      </c>
      <c r="K44" s="102">
        <f t="shared" si="1"/>
        <v>0</v>
      </c>
      <c r="L44" s="102">
        <f t="shared" si="0"/>
        <v>5.6788365251504496E-16</v>
      </c>
      <c r="M44" s="56"/>
    </row>
    <row r="45" spans="2:18">
      <c r="B45" s="54"/>
      <c r="C45" s="261" t="s">
        <v>194</v>
      </c>
      <c r="D45" s="68">
        <f ca="1">D37*((1+D44)^(D41/365))</f>
        <v>70.817432689290001</v>
      </c>
      <c r="E45" s="112"/>
      <c r="G45" s="81" t="s">
        <v>122</v>
      </c>
      <c r="H45" s="117">
        <f>'Summary Sheet'!C10</f>
        <v>0.37</v>
      </c>
      <c r="J45" s="101">
        <v>0</v>
      </c>
      <c r="K45" s="101">
        <f t="shared" si="1"/>
        <v>0</v>
      </c>
      <c r="L45" s="101">
        <f t="shared" si="0"/>
        <v>5.6788365251504496E-16</v>
      </c>
      <c r="M45" s="56"/>
    </row>
    <row r="46" spans="2:18">
      <c r="B46" s="54"/>
      <c r="C46" s="81" t="s">
        <v>132</v>
      </c>
      <c r="D46" s="97">
        <f>'Summary Sheet'!C6</f>
        <v>6.5790000000000001E-2</v>
      </c>
      <c r="E46" s="112"/>
      <c r="G46" s="55"/>
      <c r="J46" s="102">
        <v>-0.05</v>
      </c>
      <c r="K46" s="102">
        <f t="shared" si="1"/>
        <v>0</v>
      </c>
      <c r="L46" s="102">
        <f t="shared" si="0"/>
        <v>5.6788365251504496E-16</v>
      </c>
      <c r="M46" s="56"/>
    </row>
    <row r="47" spans="2:18">
      <c r="B47" s="54"/>
      <c r="C47" s="261" t="s">
        <v>197</v>
      </c>
      <c r="D47" s="68">
        <f ca="1">D35*((1+D46)^(D41/365))</f>
        <v>45.330066660036707</v>
      </c>
      <c r="E47" s="112"/>
      <c r="G47" s="55"/>
      <c r="J47" s="102">
        <v>-0.15</v>
      </c>
      <c r="K47" s="102">
        <f t="shared" si="1"/>
        <v>0</v>
      </c>
      <c r="L47" s="102">
        <f t="shared" si="0"/>
        <v>5.6788365251504496E-16</v>
      </c>
      <c r="M47" s="56"/>
    </row>
    <row r="48" spans="2:18">
      <c r="B48" s="54"/>
      <c r="C48" s="81" t="s">
        <v>141</v>
      </c>
      <c r="D48" s="96">
        <f ca="1">D47+D45+D43</f>
        <v>202.49999999999994</v>
      </c>
      <c r="E48" s="112"/>
      <c r="G48" s="55"/>
      <c r="J48" s="183">
        <v>-0.15010000000000001</v>
      </c>
      <c r="K48" s="101">
        <f t="shared" si="1"/>
        <v>-0.24016000000000004</v>
      </c>
      <c r="L48" s="101">
        <f t="shared" si="0"/>
        <v>-5.036098416767959E-2</v>
      </c>
      <c r="M48" s="56"/>
    </row>
    <row r="49" spans="2:14">
      <c r="B49" s="54"/>
      <c r="C49" s="57" t="s">
        <v>64</v>
      </c>
      <c r="D49" s="78">
        <f ca="1">((D48/D31)^(365/D41))-1</f>
        <v>0.14196325933716092</v>
      </c>
      <c r="E49" s="112"/>
      <c r="J49" s="99">
        <v>-0.25</v>
      </c>
      <c r="K49" s="99">
        <f t="shared" si="1"/>
        <v>-0.4</v>
      </c>
      <c r="L49" s="99">
        <f t="shared" si="0"/>
        <v>-9.1634950859597178E-2</v>
      </c>
      <c r="M49" s="56"/>
    </row>
    <row r="50" spans="2:14">
      <c r="B50" s="54"/>
      <c r="C50" s="77" t="s">
        <v>115</v>
      </c>
      <c r="E50" s="112"/>
      <c r="J50" s="99">
        <v>-0.3</v>
      </c>
      <c r="K50" s="99">
        <f t="shared" si="1"/>
        <v>-0.48</v>
      </c>
      <c r="L50" s="99">
        <f t="shared" si="0"/>
        <v>-0.1157651259532642</v>
      </c>
      <c r="M50" s="56"/>
    </row>
    <row r="51" spans="2:14">
      <c r="B51" s="54"/>
      <c r="D51" s="79"/>
      <c r="E51" s="79"/>
      <c r="G51" s="77"/>
      <c r="J51" s="99">
        <v>-0.35</v>
      </c>
      <c r="K51" s="99">
        <f t="shared" si="1"/>
        <v>-0.51</v>
      </c>
      <c r="L51" s="99">
        <f t="shared" si="0"/>
        <v>-0.12559597295624778</v>
      </c>
      <c r="M51" s="56"/>
    </row>
    <row r="52" spans="2:14">
      <c r="B52" s="54"/>
      <c r="C52" s="87" t="s">
        <v>212</v>
      </c>
      <c r="D52" s="79"/>
      <c r="E52" s="79"/>
      <c r="G52" s="77"/>
      <c r="J52" s="99">
        <v>-0.4</v>
      </c>
      <c r="K52" s="99">
        <f t="shared" si="1"/>
        <v>-0.54</v>
      </c>
      <c r="L52" s="99">
        <f t="shared" si="0"/>
        <v>-0.1359282665046353</v>
      </c>
      <c r="M52" s="56"/>
      <c r="N52" s="189"/>
    </row>
    <row r="53" spans="2:14">
      <c r="B53" s="54"/>
      <c r="C53" s="87"/>
      <c r="D53" s="79"/>
      <c r="E53" s="79"/>
      <c r="G53" s="77"/>
      <c r="J53" s="100">
        <v>-0.45</v>
      </c>
      <c r="K53" s="100">
        <f t="shared" si="1"/>
        <v>-0.56999999999999995</v>
      </c>
      <c r="L53" s="100">
        <f t="shared" si="0"/>
        <v>-0.14682294304334459</v>
      </c>
      <c r="M53" s="56"/>
      <c r="N53" s="189"/>
    </row>
    <row r="54" spans="2:14" ht="13.5" thickBot="1">
      <c r="B54" s="73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6"/>
    </row>
    <row r="56" spans="2:14" ht="13.5" hidden="1" thickBot="1">
      <c r="B56" s="51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</row>
    <row r="57" spans="2:14" ht="13.5" hidden="1" thickBot="1">
      <c r="B57" s="54"/>
      <c r="C57" s="55" t="s">
        <v>209</v>
      </c>
      <c r="M57" s="56"/>
    </row>
    <row r="58" spans="2:14" ht="13.5" hidden="1" thickBot="1">
      <c r="B58" s="54"/>
      <c r="M58" s="56"/>
    </row>
    <row r="59" spans="2:14" ht="13.5" hidden="1" thickBot="1">
      <c r="B59" s="54"/>
      <c r="C59" s="55" t="s">
        <v>123</v>
      </c>
      <c r="G59" s="55" t="s">
        <v>111</v>
      </c>
      <c r="J59" s="55" t="s">
        <v>129</v>
      </c>
      <c r="K59" s="55"/>
      <c r="M59" s="56"/>
    </row>
    <row r="60" spans="2:14" ht="12.95" hidden="1" customHeight="1">
      <c r="B60" s="54"/>
      <c r="C60" s="55"/>
      <c r="M60" s="56"/>
    </row>
    <row r="61" spans="2:14" ht="13.5" hidden="1" thickBot="1">
      <c r="B61" s="54"/>
      <c r="C61" s="57" t="s">
        <v>109</v>
      </c>
      <c r="D61" s="58">
        <v>100</v>
      </c>
      <c r="E61" s="109"/>
      <c r="G61" s="57" t="s">
        <v>8</v>
      </c>
      <c r="H61" s="59">
        <v>0.71071976242691137</v>
      </c>
      <c r="J61" s="80" t="s">
        <v>208</v>
      </c>
      <c r="K61" s="80" t="s">
        <v>130</v>
      </c>
      <c r="L61" s="80" t="s">
        <v>131</v>
      </c>
      <c r="M61" s="56"/>
    </row>
    <row r="62" spans="2:14" ht="13.5" hidden="1" thickBot="1">
      <c r="B62" s="54"/>
      <c r="C62" s="57" t="s">
        <v>110</v>
      </c>
      <c r="D62" s="62">
        <v>1.4</v>
      </c>
      <c r="E62" s="110"/>
      <c r="G62" s="57" t="s">
        <v>108</v>
      </c>
      <c r="H62" s="63">
        <v>76429.698077955836</v>
      </c>
      <c r="J62" s="88">
        <v>0.4</v>
      </c>
      <c r="K62" s="89">
        <v>0.44500000000000001</v>
      </c>
      <c r="L62" s="89">
        <v>0.52</v>
      </c>
      <c r="M62" s="56"/>
    </row>
    <row r="63" spans="2:14" ht="13.5" hidden="1" thickBot="1">
      <c r="B63" s="54"/>
      <c r="C63" s="57" t="s">
        <v>122</v>
      </c>
      <c r="D63" s="64">
        <v>0.1</v>
      </c>
      <c r="E63" s="111"/>
      <c r="G63" s="57" t="s">
        <v>124</v>
      </c>
      <c r="H63" s="65">
        <v>0.2100272339214172</v>
      </c>
      <c r="J63" s="88">
        <v>0.5</v>
      </c>
      <c r="K63" s="89">
        <v>0.44500000000000001</v>
      </c>
      <c r="L63" s="89">
        <v>0.52</v>
      </c>
      <c r="M63" s="56"/>
    </row>
    <row r="64" spans="2:14" ht="13.5" hidden="1" thickBot="1">
      <c r="B64" s="54"/>
      <c r="C64" s="57" t="s">
        <v>101</v>
      </c>
      <c r="D64" s="65">
        <v>7.2800328213226989E-2</v>
      </c>
      <c r="E64" s="112"/>
      <c r="G64" s="57" t="s">
        <v>91</v>
      </c>
      <c r="H64" s="66">
        <v>1.0151741959948379</v>
      </c>
      <c r="J64" s="88">
        <v>0.25</v>
      </c>
      <c r="K64" s="89">
        <v>0.44500000000000001</v>
      </c>
      <c r="L64" s="89">
        <v>0.52</v>
      </c>
      <c r="M64" s="56"/>
    </row>
    <row r="65" spans="2:13" ht="13.5" hidden="1" thickBot="1">
      <c r="B65" s="54"/>
      <c r="C65" s="57" t="s">
        <v>40</v>
      </c>
      <c r="D65" s="65">
        <v>3.7450329488672753E-2</v>
      </c>
      <c r="E65" s="112"/>
      <c r="G65" s="57" t="s">
        <v>114</v>
      </c>
      <c r="H65" s="65">
        <v>4.5824986750494436E-2</v>
      </c>
      <c r="J65" s="88">
        <v>0.22</v>
      </c>
      <c r="K65" s="89">
        <v>0.44500000000000001</v>
      </c>
      <c r="L65" s="89">
        <v>0.52</v>
      </c>
      <c r="M65" s="56"/>
    </row>
    <row r="66" spans="2:13" ht="13.5" hidden="1" thickBot="1">
      <c r="B66" s="54"/>
      <c r="C66" s="57" t="s">
        <v>102</v>
      </c>
      <c r="D66" s="65">
        <v>1.2999999999999999E-3</v>
      </c>
      <c r="E66" s="112"/>
      <c r="G66" s="57" t="s">
        <v>92</v>
      </c>
      <c r="H66" s="66">
        <v>-2.6037473291330091</v>
      </c>
      <c r="J66" s="88">
        <v>0.2</v>
      </c>
      <c r="K66" s="89">
        <v>0.44500000000000001</v>
      </c>
      <c r="L66" s="89">
        <v>0.52</v>
      </c>
      <c r="M66" s="56"/>
    </row>
    <row r="67" spans="2:13" ht="13.5" hidden="1" thickBot="1">
      <c r="B67" s="54"/>
      <c r="C67" s="57" t="s">
        <v>103</v>
      </c>
      <c r="D67" s="65">
        <v>2.5000000000000001E-3</v>
      </c>
      <c r="E67" s="112"/>
      <c r="J67" s="88">
        <v>0.15</v>
      </c>
      <c r="K67" s="89">
        <v>0.44500000000000001</v>
      </c>
      <c r="L67" s="89">
        <v>0.52</v>
      </c>
      <c r="M67" s="56"/>
    </row>
    <row r="68" spans="2:13" ht="13.5" hidden="1" thickBot="1">
      <c r="B68" s="54"/>
      <c r="C68" s="57" t="s">
        <v>104</v>
      </c>
      <c r="D68" s="68">
        <f>D61*(1-SUM(D64:D67))</f>
        <v>88.594934229810036</v>
      </c>
      <c r="E68" s="113"/>
      <c r="G68" s="55" t="s">
        <v>119</v>
      </c>
      <c r="J68" s="88">
        <v>0.11</v>
      </c>
      <c r="K68" s="89">
        <v>0.44500000000000001</v>
      </c>
      <c r="L68" s="89">
        <v>0.52</v>
      </c>
      <c r="M68" s="56"/>
    </row>
    <row r="69" spans="2:13" ht="13.5" hidden="1" thickBot="1">
      <c r="B69" s="54"/>
      <c r="C69" s="57" t="s">
        <v>55</v>
      </c>
      <c r="D69" s="69">
        <v>0.2217279722159923</v>
      </c>
      <c r="E69" s="114"/>
      <c r="J69" s="88">
        <v>0.1</v>
      </c>
      <c r="K69" s="89">
        <v>0.44500000000000001</v>
      </c>
      <c r="L69" s="89">
        <v>0.52</v>
      </c>
      <c r="M69" s="56"/>
    </row>
    <row r="70" spans="2:13" ht="13.5" hidden="1" thickBot="1">
      <c r="B70" s="54"/>
      <c r="C70" s="57" t="s">
        <v>113</v>
      </c>
      <c r="D70" s="68">
        <v>22.172797221599229</v>
      </c>
      <c r="E70" s="113"/>
      <c r="G70" s="57" t="s">
        <v>118</v>
      </c>
      <c r="H70" s="60">
        <v>0.3</v>
      </c>
      <c r="J70" s="90">
        <v>0.09</v>
      </c>
      <c r="K70" s="85">
        <v>0.09</v>
      </c>
      <c r="L70" s="85">
        <v>0.09</v>
      </c>
      <c r="M70" s="56"/>
    </row>
    <row r="71" spans="2:13" ht="13.5" hidden="1" thickBot="1">
      <c r="B71" s="54"/>
      <c r="C71" s="57" t="s">
        <v>77</v>
      </c>
      <c r="D71" s="65">
        <v>9.5000000000000001E-2</v>
      </c>
      <c r="E71" s="112"/>
      <c r="G71" s="57" t="s">
        <v>125</v>
      </c>
      <c r="H71" s="58">
        <v>21.32159287280734</v>
      </c>
      <c r="J71" s="90">
        <v>7.0000000000000007E-2</v>
      </c>
      <c r="K71" s="85">
        <v>7.0000000000000007E-2</v>
      </c>
      <c r="L71" s="85">
        <v>7.0000000000000007E-2</v>
      </c>
      <c r="M71" s="56"/>
    </row>
    <row r="72" spans="2:13" ht="12.95" hidden="1" customHeight="1">
      <c r="B72" s="54"/>
      <c r="C72" s="57" t="s">
        <v>105</v>
      </c>
      <c r="D72" s="65">
        <v>5.5E-2</v>
      </c>
      <c r="E72" s="112"/>
      <c r="G72" s="57" t="s">
        <v>121</v>
      </c>
      <c r="H72" s="67">
        <f>D71-D72</f>
        <v>0.04</v>
      </c>
      <c r="J72" s="90">
        <v>0.05</v>
      </c>
      <c r="K72" s="85">
        <v>0.05</v>
      </c>
      <c r="L72" s="85">
        <v>0.05</v>
      </c>
      <c r="M72" s="56"/>
    </row>
    <row r="73" spans="2:13" ht="12.95" hidden="1" customHeight="1">
      <c r="B73" s="54"/>
      <c r="C73" s="57" t="s">
        <v>106</v>
      </c>
      <c r="D73" s="70">
        <v>1160</v>
      </c>
      <c r="E73" s="106"/>
      <c r="J73" s="90">
        <v>0.03</v>
      </c>
      <c r="K73" s="85">
        <v>0.03</v>
      </c>
      <c r="L73" s="85">
        <v>0.03</v>
      </c>
      <c r="M73" s="56"/>
    </row>
    <row r="74" spans="2:13" ht="12.95" hidden="1" customHeight="1">
      <c r="B74" s="54"/>
      <c r="C74" s="71" t="s">
        <v>107</v>
      </c>
      <c r="D74" s="68">
        <f>FV(D71,D73/365,0,-D68)+FV(D72,D73/365,0,-D69*D61)</f>
        <v>144.49999999999991</v>
      </c>
      <c r="E74" s="113"/>
      <c r="G74" s="77"/>
      <c r="J74" s="90">
        <v>0.01</v>
      </c>
      <c r="K74" s="85">
        <v>0.01</v>
      </c>
      <c r="L74" s="85">
        <v>0.01</v>
      </c>
      <c r="M74" s="56"/>
    </row>
    <row r="75" spans="2:13" ht="12.95" hidden="1" customHeight="1">
      <c r="B75" s="54"/>
      <c r="C75" s="57" t="s">
        <v>64</v>
      </c>
      <c r="D75" s="78">
        <f>((D74/D61)^(365/D73))-1</f>
        <v>0.12280217434739704</v>
      </c>
      <c r="E75" s="79"/>
      <c r="J75" s="91">
        <v>0</v>
      </c>
      <c r="K75" s="86">
        <v>0</v>
      </c>
      <c r="L75" s="86">
        <v>0</v>
      </c>
      <c r="M75" s="56"/>
    </row>
    <row r="76" spans="2:13" ht="13.5" hidden="1" thickBot="1">
      <c r="B76" s="54"/>
      <c r="D76" s="79"/>
      <c r="E76" s="79"/>
      <c r="G76" s="77"/>
      <c r="J76" s="90">
        <v>-0.05</v>
      </c>
      <c r="K76" s="85">
        <v>0</v>
      </c>
      <c r="L76" s="85">
        <v>0</v>
      </c>
      <c r="M76" s="56"/>
    </row>
    <row r="77" spans="2:13" ht="13.5" hidden="1" thickBot="1">
      <c r="B77" s="54"/>
      <c r="C77" s="77" t="s">
        <v>115</v>
      </c>
      <c r="D77" s="79"/>
      <c r="E77" s="79"/>
      <c r="G77" s="77"/>
      <c r="J77" s="90">
        <v>-0.2</v>
      </c>
      <c r="K77" s="85">
        <v>0</v>
      </c>
      <c r="L77" s="85">
        <v>0</v>
      </c>
      <c r="M77" s="56"/>
    </row>
    <row r="78" spans="2:13" ht="13.5" hidden="1" thickBot="1">
      <c r="B78" s="54"/>
      <c r="J78" s="90">
        <v>-0.25</v>
      </c>
      <c r="K78" s="85">
        <v>0</v>
      </c>
      <c r="L78" s="85">
        <v>0</v>
      </c>
      <c r="M78" s="56"/>
    </row>
    <row r="79" spans="2:13" ht="13.5" hidden="1" thickBot="1">
      <c r="B79" s="54"/>
      <c r="J79" s="90">
        <v>-0.26</v>
      </c>
      <c r="K79" s="85">
        <v>0</v>
      </c>
      <c r="L79" s="92">
        <v>-0.36399999999999999</v>
      </c>
      <c r="M79" s="56"/>
    </row>
    <row r="80" spans="2:13" ht="13.5" hidden="1" thickBot="1">
      <c r="B80" s="54"/>
      <c r="D80" s="79"/>
      <c r="E80" s="79"/>
      <c r="G80" s="77"/>
      <c r="J80" s="90">
        <v>-0.3</v>
      </c>
      <c r="K80" s="85">
        <v>0</v>
      </c>
      <c r="L80" s="92">
        <v>-0.42</v>
      </c>
      <c r="M80" s="56"/>
    </row>
    <row r="81" spans="2:13" ht="13.5" hidden="1" thickBot="1">
      <c r="B81" s="54"/>
      <c r="D81" s="79"/>
      <c r="E81" s="79"/>
      <c r="G81" s="77"/>
      <c r="J81" s="90">
        <v>-0.4</v>
      </c>
      <c r="K81" s="85">
        <v>0</v>
      </c>
      <c r="L81" s="92">
        <v>-0.55999999999999994</v>
      </c>
      <c r="M81" s="56"/>
    </row>
    <row r="82" spans="2:13" ht="13.5" hidden="1" thickBot="1">
      <c r="B82" s="54"/>
      <c r="D82" s="79"/>
      <c r="E82" s="79"/>
      <c r="G82" s="77"/>
      <c r="J82" s="93">
        <v>-0.41</v>
      </c>
      <c r="K82" s="92">
        <v>-0.57399999999999995</v>
      </c>
      <c r="L82" s="92">
        <v>-0.57399999999999995</v>
      </c>
      <c r="M82" s="56"/>
    </row>
    <row r="83" spans="2:13" ht="13.5" hidden="1" thickBot="1">
      <c r="B83" s="54"/>
      <c r="C83" s="87" t="s">
        <v>210</v>
      </c>
      <c r="D83" s="79"/>
      <c r="E83" s="79"/>
      <c r="G83" s="77"/>
      <c r="J83" s="94">
        <v>-0.45</v>
      </c>
      <c r="K83" s="95">
        <v>-0.63</v>
      </c>
      <c r="L83" s="95">
        <v>-0.63</v>
      </c>
      <c r="M83" s="56"/>
    </row>
    <row r="84" spans="2:13" ht="13.5" hidden="1" thickBot="1">
      <c r="B84" s="54"/>
      <c r="D84" s="79"/>
      <c r="E84" s="79"/>
      <c r="G84" s="77"/>
      <c r="J84" s="98"/>
      <c r="K84" s="98"/>
      <c r="L84" s="98"/>
      <c r="M84" s="56"/>
    </row>
    <row r="85" spans="2:13" ht="13.5" hidden="1" thickBot="1">
      <c r="B85" s="73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6"/>
    </row>
    <row r="86" spans="2:13" ht="13.5" hidden="1" thickBot="1"/>
    <row r="87" spans="2:13" ht="13.5" hidden="1" thickBot="1"/>
  </sheetData>
  <mergeCells count="3">
    <mergeCell ref="O26:O27"/>
    <mergeCell ref="P26:P27"/>
    <mergeCell ref="Q26:Q2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2:AH87"/>
  <sheetViews>
    <sheetView showGridLines="0" tabSelected="1" topLeftCell="B21" zoomScale="85" zoomScaleNormal="85" workbookViewId="0">
      <selection activeCell="I15" sqref="I15"/>
    </sheetView>
  </sheetViews>
  <sheetFormatPr defaultRowHeight="14.25"/>
  <cols>
    <col min="1" max="1" width="2.86328125" customWidth="1"/>
    <col min="2" max="4" width="12.59765625" customWidth="1"/>
    <col min="5" max="5" width="13.3984375" customWidth="1"/>
    <col min="6" max="7" width="12.59765625" customWidth="1"/>
    <col min="8" max="8" width="13.86328125" customWidth="1"/>
    <col min="9" max="10" width="12.59765625" customWidth="1"/>
    <col min="11" max="11" width="13.86328125" bestFit="1" customWidth="1"/>
    <col min="12" max="12" width="14.86328125" bestFit="1" customWidth="1"/>
    <col min="13" max="13" width="16.59765625" bestFit="1" customWidth="1"/>
    <col min="14" max="14" width="14.3984375" bestFit="1" customWidth="1"/>
    <col min="15" max="15" width="14.1328125" bestFit="1" customWidth="1"/>
    <col min="16" max="16" width="12.1328125" bestFit="1" customWidth="1"/>
    <col min="17" max="17" width="9.53125" bestFit="1" customWidth="1"/>
    <col min="18" max="18" width="8.59765625" bestFit="1" customWidth="1"/>
    <col min="19" max="19" width="8.1328125" customWidth="1"/>
    <col min="20" max="20" width="10" bestFit="1" customWidth="1"/>
    <col min="21" max="21" width="9.46484375" bestFit="1" customWidth="1"/>
    <col min="22" max="22" width="10.796875" bestFit="1" customWidth="1"/>
    <col min="23" max="23" width="7.1328125" bestFit="1" customWidth="1"/>
    <col min="24" max="24" width="8.3984375" customWidth="1"/>
    <col min="25" max="25" width="16.3984375" bestFit="1" customWidth="1"/>
    <col min="26" max="26" width="15.9296875" bestFit="1" customWidth="1"/>
    <col min="27" max="27" width="15" bestFit="1" customWidth="1"/>
    <col min="28" max="28" width="16.06640625" bestFit="1" customWidth="1"/>
    <col min="29" max="29" width="14.59765625" bestFit="1" customWidth="1"/>
    <col min="30" max="30" width="13.73046875" bestFit="1" customWidth="1"/>
    <col min="31" max="31" width="13.59765625" bestFit="1" customWidth="1"/>
    <col min="32" max="32" width="13.265625" bestFit="1" customWidth="1"/>
    <col min="33" max="34" width="12.9296875" bestFit="1" customWidth="1"/>
  </cols>
  <sheetData>
    <row r="2" spans="2:17">
      <c r="B2" s="4" t="s">
        <v>200</v>
      </c>
      <c r="C2" s="4">
        <f>'Summary Sheet'!C3</f>
        <v>76799</v>
      </c>
      <c r="E2" s="4" t="s">
        <v>204</v>
      </c>
      <c r="F2" s="132">
        <f>'Summary Sheet'!I25</f>
        <v>8.9507100000000006E-3</v>
      </c>
      <c r="H2" s="4" t="s">
        <v>154</v>
      </c>
      <c r="I2" s="133">
        <v>3.4799999999999998E-2</v>
      </c>
      <c r="K2" t="s">
        <v>155</v>
      </c>
      <c r="L2" s="133">
        <v>3.4799999999999998E-2</v>
      </c>
    </row>
    <row r="3" spans="2:17">
      <c r="B3" s="4" t="s">
        <v>4</v>
      </c>
      <c r="C3" s="258">
        <f>'Summary Sheet'!H23</f>
        <v>76800</v>
      </c>
      <c r="E3" s="4" t="s">
        <v>205</v>
      </c>
      <c r="F3" s="132">
        <f>'Summary Sheet'!I26</f>
        <v>0.17100307000000001</v>
      </c>
      <c r="H3" s="4" t="s">
        <v>156</v>
      </c>
      <c r="I3" s="132">
        <v>3.4799999999999998E-2</v>
      </c>
      <c r="K3" t="s">
        <v>157</v>
      </c>
      <c r="L3" s="132">
        <v>3.4799999999999998E-2</v>
      </c>
    </row>
    <row r="4" spans="2:17">
      <c r="B4" s="4" t="s">
        <v>59</v>
      </c>
      <c r="C4" s="134">
        <f>'Summary Sheet'!I23</f>
        <v>47689</v>
      </c>
      <c r="D4" s="135"/>
      <c r="E4" s="135" t="s">
        <v>158</v>
      </c>
    </row>
    <row r="5" spans="2:17">
      <c r="B5" s="4"/>
      <c r="D5" s="135"/>
    </row>
    <row r="6" spans="2:17">
      <c r="B6" s="136" t="s">
        <v>159</v>
      </c>
      <c r="D6" s="135"/>
      <c r="M6" s="137">
        <v>0.05</v>
      </c>
    </row>
    <row r="7" spans="2:17">
      <c r="B7" s="4" t="s">
        <v>199</v>
      </c>
      <c r="C7" s="4" t="s">
        <v>133</v>
      </c>
      <c r="D7" s="4" t="s">
        <v>4</v>
      </c>
      <c r="E7" s="4" t="s">
        <v>59</v>
      </c>
      <c r="F7" s="4" t="s">
        <v>160</v>
      </c>
      <c r="G7" s="4" t="s">
        <v>161</v>
      </c>
      <c r="H7" s="4" t="s">
        <v>162</v>
      </c>
      <c r="I7" s="4" t="s">
        <v>163</v>
      </c>
      <c r="J7" s="4" t="s">
        <v>164</v>
      </c>
      <c r="K7" s="4" t="s">
        <v>165</v>
      </c>
      <c r="L7" s="4" t="s">
        <v>166</v>
      </c>
      <c r="M7" s="4" t="s">
        <v>167</v>
      </c>
      <c r="N7" s="4" t="s">
        <v>168</v>
      </c>
      <c r="O7" s="4"/>
      <c r="P7" s="4"/>
      <c r="Q7" s="4"/>
    </row>
    <row r="8" spans="2:17">
      <c r="B8" s="138">
        <f>D26</f>
        <v>38399.5</v>
      </c>
      <c r="C8" s="10">
        <f>C26</f>
        <v>-0.5</v>
      </c>
      <c r="D8" s="138">
        <f>$C$3</f>
        <v>76800</v>
      </c>
      <c r="E8" s="20">
        <f>$C$4</f>
        <v>47689</v>
      </c>
      <c r="F8" s="139">
        <f ca="1">-$K$26</f>
        <v>-12809.6739179412</v>
      </c>
      <c r="G8" s="140">
        <f ca="1">$H$36</f>
        <v>3555.7598610375485</v>
      </c>
      <c r="H8" s="127">
        <f ca="1">G8*F8*-1/10000000</f>
        <v>4.5548124350394916</v>
      </c>
      <c r="I8" s="139">
        <f t="shared" ref="I8:I22" si="0">H44</f>
        <v>28850.435081814259</v>
      </c>
      <c r="J8" s="139">
        <f t="shared" ref="J8:J22" si="1">H62</f>
        <v>32010.740513367287</v>
      </c>
      <c r="K8" s="139">
        <f t="shared" ref="K8:K22" ca="1" si="2">H26</f>
        <v>23084.727379005406</v>
      </c>
      <c r="L8" s="127">
        <f ca="1">(J8-I8)*F8/10000000+(K8-G8)*F8/10000000</f>
        <v>-29.064218791852646</v>
      </c>
      <c r="M8" s="127">
        <f ca="1">$M$6*B8*F8/10000000</f>
        <v>-2.4594253680599159</v>
      </c>
      <c r="N8" s="127">
        <f t="shared" ref="N8:N22" ca="1" si="3">SUM(L8:M8)</f>
        <v>-31.523644159912561</v>
      </c>
      <c r="O8" s="127"/>
      <c r="P8" s="127"/>
      <c r="Q8" s="17"/>
    </row>
    <row r="9" spans="2:17">
      <c r="B9" s="138">
        <f t="shared" ref="B9:B22" si="4">D27</f>
        <v>42239.450000000004</v>
      </c>
      <c r="C9" s="10">
        <f t="shared" ref="C9:C22" si="5">C27</f>
        <v>-0.45</v>
      </c>
      <c r="D9" s="138">
        <f t="shared" ref="D9:D22" si="6">$C$3</f>
        <v>76800</v>
      </c>
      <c r="E9" s="20">
        <f t="shared" ref="E9:E22" si="7">$C$4</f>
        <v>47689</v>
      </c>
      <c r="F9" s="139">
        <f t="shared" ref="F9:F22" ca="1" si="8">-$K$26</f>
        <v>-12809.6739179412</v>
      </c>
      <c r="G9" s="140">
        <f t="shared" ref="G9:G22" ca="1" si="9">$H$36</f>
        <v>3555.7598610375485</v>
      </c>
      <c r="H9" s="127">
        <f t="shared" ref="H9:H22" ca="1" si="10">G9*F9*-1/10000000</f>
        <v>4.5548124350394916</v>
      </c>
      <c r="I9" s="139">
        <f t="shared" si="0"/>
        <v>25375.303323909578</v>
      </c>
      <c r="J9" s="139">
        <f t="shared" si="1"/>
        <v>28900.36707993285</v>
      </c>
      <c r="K9" s="139">
        <f t="shared" ca="1" si="2"/>
        <v>19955.461861187356</v>
      </c>
      <c r="L9" s="127">
        <f t="shared" ref="L9:L22" ca="1" si="11">(J9-I9)*F9/10000000+(K9-G9)*F9/10000000</f>
        <v>-25.522975222793825</v>
      </c>
      <c r="M9" s="127">
        <f ca="1">$M$6*B9*F9/10000000</f>
        <v>-2.7053679048659074</v>
      </c>
      <c r="N9" s="127">
        <f t="shared" ca="1" si="3"/>
        <v>-28.228343127659734</v>
      </c>
      <c r="O9" s="127"/>
      <c r="P9" s="127"/>
      <c r="Q9" s="17"/>
    </row>
    <row r="10" spans="2:17">
      <c r="B10" s="138">
        <f t="shared" si="4"/>
        <v>46079.4</v>
      </c>
      <c r="C10" s="10">
        <f t="shared" si="5"/>
        <v>-0.4</v>
      </c>
      <c r="D10" s="138">
        <f t="shared" si="6"/>
        <v>76800</v>
      </c>
      <c r="E10" s="20">
        <f t="shared" si="7"/>
        <v>47689</v>
      </c>
      <c r="F10" s="139">
        <f t="shared" ca="1" si="8"/>
        <v>-12809.6739179412</v>
      </c>
      <c r="G10" s="140">
        <f t="shared" ca="1" si="9"/>
        <v>3555.7598610375485</v>
      </c>
      <c r="H10" s="127">
        <f t="shared" ca="1" si="10"/>
        <v>4.5548124350394916</v>
      </c>
      <c r="I10" s="139">
        <f t="shared" si="0"/>
        <v>22103.739282229559</v>
      </c>
      <c r="J10" s="139">
        <f t="shared" si="1"/>
        <v>25963.33501227868</v>
      </c>
      <c r="K10" s="139">
        <f t="shared" ca="1" si="2"/>
        <v>17078.339959799545</v>
      </c>
      <c r="L10" s="127">
        <f t="shared" ca="1" si="11"/>
        <v>-22.266000435138977</v>
      </c>
      <c r="M10" s="127">
        <f t="shared" ref="M10:M22" ca="1" si="12">$M$6*B10*F10/10000000</f>
        <v>-2.9513104416718989</v>
      </c>
      <c r="N10" s="127">
        <f t="shared" ca="1" si="3"/>
        <v>-25.217310876810878</v>
      </c>
      <c r="O10" s="127"/>
      <c r="P10" s="127"/>
      <c r="Q10" s="17"/>
    </row>
    <row r="11" spans="2:17">
      <c r="B11" s="138">
        <f t="shared" si="4"/>
        <v>49919.35</v>
      </c>
      <c r="C11" s="10">
        <f t="shared" si="5"/>
        <v>-0.35</v>
      </c>
      <c r="D11" s="138">
        <f t="shared" si="6"/>
        <v>76800</v>
      </c>
      <c r="E11" s="20">
        <f t="shared" si="7"/>
        <v>47689</v>
      </c>
      <c r="F11" s="139">
        <f t="shared" ca="1" si="8"/>
        <v>-12809.6739179412</v>
      </c>
      <c r="G11" s="140">
        <f t="shared" ca="1" si="9"/>
        <v>3555.7598610375485</v>
      </c>
      <c r="H11" s="127">
        <f t="shared" ca="1" si="10"/>
        <v>4.5548124350394916</v>
      </c>
      <c r="I11" s="139">
        <f t="shared" si="0"/>
        <v>19075.900047239567</v>
      </c>
      <c r="J11" s="139">
        <f t="shared" si="1"/>
        <v>23219.167699304024</v>
      </c>
      <c r="K11" s="139">
        <f t="shared" ca="1" si="2"/>
        <v>14438.913252429362</v>
      </c>
      <c r="L11" s="127">
        <f t="shared" ca="1" si="11"/>
        <v>-19.248355372036457</v>
      </c>
      <c r="M11" s="127">
        <f t="shared" ca="1" si="12"/>
        <v>-3.1972529784778905</v>
      </c>
      <c r="N11" s="127">
        <f t="shared" ca="1" si="3"/>
        <v>-22.445608350514348</v>
      </c>
      <c r="O11" s="127"/>
      <c r="P11" s="127"/>
      <c r="Q11" s="17"/>
    </row>
    <row r="12" spans="2:17">
      <c r="B12" s="138">
        <f t="shared" si="4"/>
        <v>53759.299999999996</v>
      </c>
      <c r="C12" s="10">
        <f t="shared" si="5"/>
        <v>-0.3</v>
      </c>
      <c r="D12" s="138">
        <f t="shared" si="6"/>
        <v>76800</v>
      </c>
      <c r="E12" s="20">
        <f t="shared" si="7"/>
        <v>47689</v>
      </c>
      <c r="F12" s="139">
        <f t="shared" ca="1" si="8"/>
        <v>-12809.6739179412</v>
      </c>
      <c r="G12" s="140">
        <f t="shared" ca="1" si="9"/>
        <v>3555.7598610375485</v>
      </c>
      <c r="H12" s="127">
        <f t="shared" ca="1" si="10"/>
        <v>4.5548124350394916</v>
      </c>
      <c r="I12" s="139">
        <f t="shared" si="0"/>
        <v>16319.827435507645</v>
      </c>
      <c r="J12" s="139">
        <f t="shared" si="1"/>
        <v>20680.121358062876</v>
      </c>
      <c r="K12" s="139">
        <f t="shared" ca="1" si="2"/>
        <v>12053.094270183807</v>
      </c>
      <c r="L12" s="127">
        <f t="shared" ca="1" si="11"/>
        <v>-16.470202628717839</v>
      </c>
      <c r="M12" s="127">
        <f t="shared" ca="1" si="12"/>
        <v>-3.443195515283882</v>
      </c>
      <c r="N12" s="127">
        <f t="shared" ca="1" si="3"/>
        <v>-19.913398144001722</v>
      </c>
      <c r="O12" s="127"/>
      <c r="P12" s="127"/>
      <c r="Q12" s="17"/>
    </row>
    <row r="13" spans="2:17">
      <c r="B13" s="138">
        <f t="shared" si="4"/>
        <v>57599.25</v>
      </c>
      <c r="C13" s="10">
        <f t="shared" si="5"/>
        <v>-0.25</v>
      </c>
      <c r="D13" s="138">
        <f t="shared" si="6"/>
        <v>76800</v>
      </c>
      <c r="E13" s="20">
        <f t="shared" si="7"/>
        <v>47689</v>
      </c>
      <c r="F13" s="139">
        <f t="shared" ca="1" si="8"/>
        <v>-12809.6739179412</v>
      </c>
      <c r="G13" s="140">
        <f t="shared" ca="1" si="9"/>
        <v>3555.7598610375485</v>
      </c>
      <c r="H13" s="127">
        <f t="shared" ca="1" si="10"/>
        <v>4.5548124350394916</v>
      </c>
      <c r="I13" s="139">
        <f t="shared" si="0"/>
        <v>13850.063016030164</v>
      </c>
      <c r="J13" s="139">
        <f t="shared" si="1"/>
        <v>18351.538512125357</v>
      </c>
      <c r="K13" s="139">
        <f t="shared" ca="1" si="2"/>
        <v>9980.3697630579863</v>
      </c>
      <c r="L13" s="127">
        <f t="shared" ca="1" si="11"/>
        <v>-13.995959114943997</v>
      </c>
      <c r="M13" s="127">
        <f t="shared" ca="1" si="12"/>
        <v>-3.6891380520898736</v>
      </c>
      <c r="N13" s="127">
        <f t="shared" ca="1" si="3"/>
        <v>-17.68509716703387</v>
      </c>
      <c r="O13" s="127"/>
      <c r="P13" s="127"/>
      <c r="Q13" s="17"/>
    </row>
    <row r="14" spans="2:17">
      <c r="B14" s="138">
        <f t="shared" si="4"/>
        <v>61439.200000000004</v>
      </c>
      <c r="C14" s="10">
        <f t="shared" si="5"/>
        <v>-0.2</v>
      </c>
      <c r="D14" s="138">
        <f t="shared" si="6"/>
        <v>76800</v>
      </c>
      <c r="E14" s="20">
        <f t="shared" si="7"/>
        <v>47689</v>
      </c>
      <c r="F14" s="139">
        <f t="shared" ca="1" si="8"/>
        <v>-12809.6739179412</v>
      </c>
      <c r="G14" s="140">
        <f t="shared" ca="1" si="9"/>
        <v>3555.7598610375485</v>
      </c>
      <c r="H14" s="127">
        <f t="shared" ca="1" si="10"/>
        <v>4.5548124350394916</v>
      </c>
      <c r="I14" s="139">
        <f t="shared" si="0"/>
        <v>11668.412928845028</v>
      </c>
      <c r="J14" s="139">
        <f t="shared" si="1"/>
        <v>16232.748714404081</v>
      </c>
      <c r="K14" s="139">
        <f t="shared" ca="1" si="2"/>
        <v>8205.6433763982423</v>
      </c>
      <c r="L14" s="127">
        <f t="shared" ca="1" si="11"/>
        <v>-11.803114465318208</v>
      </c>
      <c r="M14" s="127">
        <f t="shared" ca="1" si="12"/>
        <v>-3.9350805888958655</v>
      </c>
      <c r="N14" s="127">
        <f t="shared" ca="1" si="3"/>
        <v>-15.738195054214074</v>
      </c>
      <c r="O14" s="127"/>
      <c r="P14" s="127"/>
      <c r="Q14" s="17"/>
    </row>
    <row r="15" spans="2:17">
      <c r="B15" s="138">
        <f t="shared" si="4"/>
        <v>65279.15</v>
      </c>
      <c r="C15" s="10">
        <f t="shared" si="5"/>
        <v>-0.15</v>
      </c>
      <c r="D15" s="138">
        <f t="shared" si="6"/>
        <v>76800</v>
      </c>
      <c r="E15" s="20">
        <f t="shared" si="7"/>
        <v>47689</v>
      </c>
      <c r="F15" s="139">
        <f t="shared" ca="1" si="8"/>
        <v>-12809.6739179412</v>
      </c>
      <c r="G15" s="140">
        <f t="shared" ca="1" si="9"/>
        <v>3555.7598610375485</v>
      </c>
      <c r="H15" s="127">
        <f t="shared" ca="1" si="10"/>
        <v>4.5548124350394916</v>
      </c>
      <c r="I15" s="139">
        <f t="shared" si="0"/>
        <v>9766.0616233035817</v>
      </c>
      <c r="J15" s="139">
        <f t="shared" si="1"/>
        <v>14318.225731218534</v>
      </c>
      <c r="K15" s="139">
        <f t="shared" ca="1" si="2"/>
        <v>6705.1600950953025</v>
      </c>
      <c r="L15" s="127">
        <f t="shared" ca="1" si="11"/>
        <v>-9.8654527878713747</v>
      </c>
      <c r="M15" s="127">
        <f t="shared" ca="1" si="12"/>
        <v>-4.1810231257018566</v>
      </c>
      <c r="N15" s="127">
        <f t="shared" ca="1" si="3"/>
        <v>-14.046475913573232</v>
      </c>
      <c r="O15" s="127"/>
      <c r="P15" s="127"/>
      <c r="Q15" s="17"/>
    </row>
    <row r="16" spans="2:17">
      <c r="B16" s="138">
        <f t="shared" si="4"/>
        <v>69119.100000000006</v>
      </c>
      <c r="C16" s="10">
        <f t="shared" si="5"/>
        <v>-0.1</v>
      </c>
      <c r="D16" s="138">
        <f t="shared" si="6"/>
        <v>76800</v>
      </c>
      <c r="E16" s="20">
        <f t="shared" si="7"/>
        <v>47689</v>
      </c>
      <c r="F16" s="139">
        <f t="shared" ca="1" si="8"/>
        <v>-12809.6739179412</v>
      </c>
      <c r="G16" s="140">
        <f t="shared" ca="1" si="9"/>
        <v>3555.7598610375485</v>
      </c>
      <c r="H16" s="127">
        <f t="shared" ca="1" si="10"/>
        <v>4.5548124350394916</v>
      </c>
      <c r="I16" s="139">
        <f t="shared" si="0"/>
        <v>8126.2747284081615</v>
      </c>
      <c r="J16" s="139">
        <f t="shared" si="1"/>
        <v>12598.792046343953</v>
      </c>
      <c r="K16" s="139">
        <f t="shared" ca="1" si="2"/>
        <v>5450.2757888864426</v>
      </c>
      <c r="L16" s="127">
        <f t="shared" ca="1" si="11"/>
        <v>-8.1559619703192592</v>
      </c>
      <c r="M16" s="127">
        <f t="shared" ca="1" si="12"/>
        <v>-4.4269656625078486</v>
      </c>
      <c r="N16" s="127">
        <f t="shared" ca="1" si="3"/>
        <v>-12.582927632827108</v>
      </c>
      <c r="O16" s="127"/>
      <c r="P16" s="127"/>
      <c r="Q16" s="17"/>
    </row>
    <row r="17" spans="2:34">
      <c r="B17" s="138">
        <f t="shared" si="4"/>
        <v>72959.05</v>
      </c>
      <c r="C17" s="10">
        <f t="shared" si="5"/>
        <v>-0.05</v>
      </c>
      <c r="D17" s="138">
        <f t="shared" si="6"/>
        <v>76800</v>
      </c>
      <c r="E17" s="20">
        <f t="shared" si="7"/>
        <v>47689</v>
      </c>
      <c r="F17" s="139">
        <f t="shared" ca="1" si="8"/>
        <v>-12809.6739179412</v>
      </c>
      <c r="G17" s="140">
        <f t="shared" ca="1" si="9"/>
        <v>3555.7598610375485</v>
      </c>
      <c r="H17" s="127">
        <f t="shared" ca="1" si="10"/>
        <v>4.5548124350394916</v>
      </c>
      <c r="I17" s="139">
        <f t="shared" si="0"/>
        <v>6727.1250947576409</v>
      </c>
      <c r="J17" s="139">
        <f t="shared" si="1"/>
        <v>11062.739668045046</v>
      </c>
      <c r="K17" s="139">
        <f t="shared" ca="1" si="2"/>
        <v>4410.5080630325865</v>
      </c>
      <c r="L17" s="127">
        <f t="shared" ca="1" si="11"/>
        <v>-6.6486854667188409</v>
      </c>
      <c r="M17" s="127">
        <f t="shared" ca="1" si="12"/>
        <v>-4.6729081993138397</v>
      </c>
      <c r="N17" s="127">
        <f t="shared" ca="1" si="3"/>
        <v>-11.32159366603268</v>
      </c>
      <c r="O17" s="127"/>
      <c r="P17" s="127"/>
      <c r="Q17" s="17"/>
    </row>
    <row r="18" spans="2:34">
      <c r="B18" s="138">
        <f t="shared" si="4"/>
        <v>76799</v>
      </c>
      <c r="C18" s="10">
        <f t="shared" si="5"/>
        <v>0</v>
      </c>
      <c r="D18" s="138">
        <f t="shared" si="6"/>
        <v>76800</v>
      </c>
      <c r="E18" s="20">
        <f t="shared" si="7"/>
        <v>47689</v>
      </c>
      <c r="F18" s="139">
        <f t="shared" ca="1" si="8"/>
        <v>-12809.6739179412</v>
      </c>
      <c r="G18" s="140">
        <f t="shared" ca="1" si="9"/>
        <v>3555.7598610375485</v>
      </c>
      <c r="H18" s="127">
        <f t="shared" ca="1" si="10"/>
        <v>4.5548124350394916</v>
      </c>
      <c r="I18" s="139">
        <f t="shared" si="0"/>
        <v>5543.8976781530555</v>
      </c>
      <c r="J18" s="139">
        <f t="shared" si="1"/>
        <v>9696.7981318220136</v>
      </c>
      <c r="K18" s="139">
        <f t="shared" ca="1" si="2"/>
        <v>3555.7598610375485</v>
      </c>
      <c r="L18" s="127">
        <f ca="1">(J18-I18)*F18/10000000+(K18-G18)*F18/10000000</f>
        <v>-5.3197300625169426</v>
      </c>
      <c r="M18" s="127">
        <f t="shared" ca="1" si="12"/>
        <v>-4.9188507361198317</v>
      </c>
      <c r="N18" s="127">
        <f t="shared" ca="1" si="3"/>
        <v>-10.238580798636775</v>
      </c>
      <c r="O18" s="127"/>
      <c r="P18" s="127"/>
      <c r="Q18" s="17"/>
    </row>
    <row r="19" spans="2:34">
      <c r="B19" s="138">
        <f t="shared" si="4"/>
        <v>80638.95</v>
      </c>
      <c r="C19" s="10">
        <f t="shared" si="5"/>
        <v>0.05</v>
      </c>
      <c r="D19" s="138">
        <f t="shared" si="6"/>
        <v>76800</v>
      </c>
      <c r="E19" s="20">
        <f t="shared" si="7"/>
        <v>47689</v>
      </c>
      <c r="F19" s="139">
        <f t="shared" ca="1" si="8"/>
        <v>-12809.6739179412</v>
      </c>
      <c r="G19" s="140">
        <f t="shared" ca="1" si="9"/>
        <v>3555.7598610375485</v>
      </c>
      <c r="H19" s="127">
        <f t="shared" ca="1" si="10"/>
        <v>4.5548124350394916</v>
      </c>
      <c r="I19" s="139">
        <f t="shared" si="0"/>
        <v>4551.0142681493344</v>
      </c>
      <c r="J19" s="139">
        <f t="shared" si="1"/>
        <v>8486.9240078742223</v>
      </c>
      <c r="K19" s="139">
        <f t="shared" ca="1" si="2"/>
        <v>2857.7790954037778</v>
      </c>
      <c r="L19" s="127">
        <f t="shared" ca="1" si="11"/>
        <v>-4.1476814327561087</v>
      </c>
      <c r="M19" s="127">
        <f t="shared" ca="1" si="12"/>
        <v>-5.1647932729258228</v>
      </c>
      <c r="N19" s="127">
        <f t="shared" ca="1" si="3"/>
        <v>-9.3124747056819324</v>
      </c>
      <c r="O19" s="127"/>
      <c r="P19" s="127"/>
      <c r="Q19" s="17"/>
    </row>
    <row r="20" spans="2:34">
      <c r="B20" s="138">
        <f t="shared" si="4"/>
        <v>84478.900000000009</v>
      </c>
      <c r="C20" s="10">
        <f t="shared" si="5"/>
        <v>0.1</v>
      </c>
      <c r="D20" s="138">
        <f t="shared" si="6"/>
        <v>76800</v>
      </c>
      <c r="E20" s="20">
        <f t="shared" si="7"/>
        <v>47689</v>
      </c>
      <c r="F20" s="139">
        <f t="shared" ca="1" si="8"/>
        <v>-12809.6739179412</v>
      </c>
      <c r="G20" s="140">
        <f t="shared" ca="1" si="9"/>
        <v>3555.7598610375485</v>
      </c>
      <c r="H20" s="127">
        <f t="shared" ca="1" si="10"/>
        <v>4.5548124350394916</v>
      </c>
      <c r="I20" s="139">
        <f t="shared" si="0"/>
        <v>3723.4478115787433</v>
      </c>
      <c r="J20" s="139">
        <f t="shared" si="1"/>
        <v>7418.913594462525</v>
      </c>
      <c r="K20" s="139">
        <f t="shared" ca="1" si="2"/>
        <v>2290.9951062026894</v>
      </c>
      <c r="L20" s="127">
        <f t="shared" ca="1" si="11"/>
        <v>-3.113648756131115</v>
      </c>
      <c r="M20" s="127">
        <f t="shared" ca="1" si="12"/>
        <v>-5.4107358097318148</v>
      </c>
      <c r="N20" s="127">
        <f t="shared" ca="1" si="3"/>
        <v>-8.5243845658629294</v>
      </c>
      <c r="O20" s="127"/>
      <c r="P20" s="127"/>
      <c r="Q20" s="17"/>
    </row>
    <row r="21" spans="2:34">
      <c r="B21" s="138">
        <f t="shared" si="4"/>
        <v>88318.849999999991</v>
      </c>
      <c r="C21" s="10">
        <f t="shared" si="5"/>
        <v>0.15</v>
      </c>
      <c r="D21" s="138">
        <f t="shared" si="6"/>
        <v>76800</v>
      </c>
      <c r="E21" s="20">
        <f t="shared" si="7"/>
        <v>47689</v>
      </c>
      <c r="F21" s="139">
        <f t="shared" ca="1" si="8"/>
        <v>-12809.6739179412</v>
      </c>
      <c r="G21" s="140">
        <f t="shared" ca="1" si="9"/>
        <v>3555.7598610375485</v>
      </c>
      <c r="H21" s="127">
        <f t="shared" ca="1" si="10"/>
        <v>4.5548124350394916</v>
      </c>
      <c r="I21" s="139">
        <f t="shared" si="0"/>
        <v>3037.6717370937108</v>
      </c>
      <c r="J21" s="139">
        <f t="shared" si="1"/>
        <v>6478.8557194771829</v>
      </c>
      <c r="K21" s="139">
        <f t="shared" ca="1" si="2"/>
        <v>1832.8905857564334</v>
      </c>
      <c r="L21" s="127">
        <f t="shared" ca="1" si="11"/>
        <v>-2.2011051086383837</v>
      </c>
      <c r="M21" s="127">
        <f t="shared" ca="1" si="12"/>
        <v>-5.6566783465378059</v>
      </c>
      <c r="N21" s="127">
        <f t="shared" ca="1" si="3"/>
        <v>-7.8577834551761896</v>
      </c>
      <c r="O21" s="127"/>
      <c r="P21" s="127"/>
      <c r="Q21" s="17"/>
    </row>
    <row r="22" spans="2:34">
      <c r="B22" s="138">
        <f t="shared" si="4"/>
        <v>92158.8</v>
      </c>
      <c r="C22" s="10">
        <f t="shared" si="5"/>
        <v>0.2</v>
      </c>
      <c r="D22" s="138">
        <f t="shared" si="6"/>
        <v>76800</v>
      </c>
      <c r="E22" s="20">
        <f t="shared" si="7"/>
        <v>47689</v>
      </c>
      <c r="F22" s="139">
        <f t="shared" ca="1" si="8"/>
        <v>-12809.6739179412</v>
      </c>
      <c r="G22" s="140">
        <f t="shared" ca="1" si="9"/>
        <v>3555.7598610375485</v>
      </c>
      <c r="H22" s="127">
        <f t="shared" ca="1" si="10"/>
        <v>4.5548124350394916</v>
      </c>
      <c r="I22" s="139">
        <f t="shared" si="0"/>
        <v>2472.2250114581129</v>
      </c>
      <c r="J22" s="139">
        <f t="shared" si="1"/>
        <v>5653.4484766265487</v>
      </c>
      <c r="K22" s="139">
        <f t="shared" ca="1" si="2"/>
        <v>1464.0536500757937</v>
      </c>
      <c r="L22" s="127">
        <f t="shared" ca="1" si="11"/>
        <v>-1.3956360754358239</v>
      </c>
      <c r="M22" s="127">
        <f t="shared" ca="1" si="12"/>
        <v>-5.9026208833437979</v>
      </c>
      <c r="N22" s="127">
        <f t="shared" ca="1" si="3"/>
        <v>-7.2982569587796213</v>
      </c>
      <c r="O22" s="127"/>
      <c r="P22" s="127"/>
      <c r="Q22" s="17"/>
    </row>
    <row r="23" spans="2:34">
      <c r="B23" s="4"/>
      <c r="D23" s="135"/>
    </row>
    <row r="24" spans="2:34">
      <c r="B24" s="136" t="s">
        <v>169</v>
      </c>
    </row>
    <row r="25" spans="2:34">
      <c r="B25" s="4" t="s">
        <v>6</v>
      </c>
      <c r="C25" s="4" t="s">
        <v>211</v>
      </c>
      <c r="D25" s="4" t="s">
        <v>1</v>
      </c>
      <c r="E25" s="4" t="s">
        <v>4</v>
      </c>
      <c r="F25" s="4" t="s">
        <v>5</v>
      </c>
      <c r="G25" s="4" t="s">
        <v>13</v>
      </c>
      <c r="H25" s="4" t="s">
        <v>12</v>
      </c>
      <c r="I25" s="4" t="s">
        <v>8</v>
      </c>
      <c r="J25" s="4" t="s">
        <v>9</v>
      </c>
      <c r="K25" s="4" t="s">
        <v>22</v>
      </c>
      <c r="L25" s="4" t="s">
        <v>27</v>
      </c>
      <c r="M25" s="4" t="s">
        <v>23</v>
      </c>
      <c r="N25" s="141" t="s">
        <v>3</v>
      </c>
      <c r="O25" s="141" t="s">
        <v>2</v>
      </c>
      <c r="P25" s="141" t="s">
        <v>30</v>
      </c>
      <c r="Q25" s="141" t="s">
        <v>0</v>
      </c>
      <c r="R25" s="141" t="s">
        <v>20</v>
      </c>
      <c r="S25" s="141" t="s">
        <v>7</v>
      </c>
      <c r="T25" s="141" t="s">
        <v>39</v>
      </c>
      <c r="U25" s="141" t="s">
        <v>45</v>
      </c>
      <c r="V25" s="141" t="s">
        <v>14</v>
      </c>
      <c r="W25" s="141" t="s">
        <v>31</v>
      </c>
      <c r="X25" s="141" t="s">
        <v>11</v>
      </c>
      <c r="Y25" s="141" t="s">
        <v>10</v>
      </c>
      <c r="Z25" s="141" t="s">
        <v>24</v>
      </c>
      <c r="AA25" s="141" t="s">
        <v>25</v>
      </c>
      <c r="AB25" s="141" t="s">
        <v>32</v>
      </c>
      <c r="AC25" s="141" t="s">
        <v>26</v>
      </c>
      <c r="AD25" s="141" t="s">
        <v>28</v>
      </c>
      <c r="AE25" s="141" t="s">
        <v>33</v>
      </c>
      <c r="AF25" s="141" t="s">
        <v>34</v>
      </c>
      <c r="AG25" s="141" t="s">
        <v>35</v>
      </c>
      <c r="AH25" s="141" t="s">
        <v>36</v>
      </c>
    </row>
    <row r="26" spans="2:34">
      <c r="B26" s="20">
        <f>'Summary Sheet'!$C$2</f>
        <v>46238</v>
      </c>
      <c r="C26" s="10">
        <v>-0.5</v>
      </c>
      <c r="D26" s="138">
        <f t="shared" ref="D26:D40" si="13">$C$2*(1+C26)</f>
        <v>38399.5</v>
      </c>
      <c r="E26" s="138">
        <f>$C$3</f>
        <v>76800</v>
      </c>
      <c r="F26" s="20">
        <f>$C$4</f>
        <v>47689</v>
      </c>
      <c r="G26" s="4" t="s">
        <v>29</v>
      </c>
      <c r="H26" s="139">
        <f t="shared" ref="H26:H40" ca="1" si="14">IF(G$26="C",D26*EXP(O26*(F26-B26)/365)*NORMDIST((LN(D26*EXP(O26*(F26-B26)/365)/E26)+0.5*N26*N26*(F26-B26)/365)/N26/SQRT((F26-B26)/365),0,1,TRUE)-E26*NORMDIST((LN(D26*EXP(O26*(F26-B26)/365)/E26)-0.5*N26*N26*(F26-B26)/365)/N26/SQRT((F26-B26)/365),0,1,TRUE),IF(G$26="P",-1*D26*EXP(O26*(F26-B26)/365)*NORMDIST((-1*LN(D26*EXP(O26*(F26-B26)/365)/E26)-0.5*N26*N26*(F26-B26)/365)/N26/SQRT((F26-B26)/365),0,1,TRUE)+E26*NORMDIST((-1*LN(D26*EXP(O26*(F26-B26)/365)/E26)+0.5*N26*N26*(F26-B26)/365)/N26/SQRT((F26-B26)/365),0,1,TRUE),0))*EXP(-1*P26*(F26-B26)/365)</f>
        <v>23084.727379005406</v>
      </c>
      <c r="I26" s="127">
        <f t="shared" ref="I26:I40" ca="1" si="15">IF(G$26="C",(D26+0.5)*EXP(O26*(F26-B26)/365)*NORMDIST((LN((D26+0.5)*EXP(O26*(F26-B26)/365)/E26)+0.5*N26*N26*(F26-B26)/365)/N26/SQRT((F26-B26)/365),0,1,TRUE)-E26*NORMDIST((LN((D26+0.5)*EXP(O26*(F26-B26)/365)/E26)-0.5*N26*N26*(F26-B26)/365)/N26/SQRT((F26-B26)/365),0,1,TRUE),IF(G$26="P",-1*(D26+0.5)*EXP(O26*(F26-B26)/365)*NORMDIST((-1*LN((D26+0.5)*EXP(O26*(F26-B26)/365)/E26)-0.5*N26*N26*(F26-B26)/365)/N26/SQRT((F26-B26)/365),0,1,TRUE)+E26*NORMDIST((-1*LN((D26+0.5)*EXP(O26*(F26-B26)/365)/E26)+0.5*N26*N26*(F26-B26)/365)/N26/SQRT((F26-B26)/365),0,1,TRUE),0))*EXP(-1*P26*(F26-B26)/365)-IF(G$26="C",(D26-0.5)*EXP(O26*(F26-B26)/365)*NORMDIST((LN((D26-0.5)*EXP(O26*(F26-B26)/365)/E26)+0.5*N26*N26*(F26-B26)/365)/N26/SQRT((F26-B26)/365),0,1,TRUE)-E26*NORMDIST((LN((D26-0.5)*EXP(O26*(F26-B26)/365)/E26)-0.5*N26*N26*(F26-B26)/365)/N26/SQRT((F26-B26)/365),0,1,TRUE),IF(G$26="P",-1*(D26-0.5)*EXP(O26*(F26-B26)/365)*NORMDIST((-1*LN((D26-0.5)*EXP(O26*(F26-B26)/365)/E26)-0.5*N26*N26*(F26-B26)/365)/N26/SQRT((F26-B26)/365),0,1,TRUE)+E26*NORMDIST((-1*LN((D26-0.5)*EXP(O26*(F26-B26)/365)/E26)+0.5*N26*N26*(F26-B26)/365)/N26/SQRT((F26-B26)/365),0,1,TRUE),0))*EXP(-1*P26*(F26-B26)/365)</f>
        <v>-0.84436795992223779</v>
      </c>
      <c r="J26" s="127">
        <f ca="1">IF(G26="C",D26*EXP(O26*(F26-B26)/365)*NORMDIST((LN(D26*EXP(O26*(F26-B26)/365)/E26)+0.5*(N26+1%)*(N26+1%)*(F26-B26)/365)/(N26+1%)/SQRT((F26-B26)/365),0,1,TRUE)-E26*NORMDIST((LN(D26*EXP(O26*(F26-B26)/365)/E26)-0.5*(N26+1%)*(N26+1%)*(F26-B26)/365)/(N26+1%)/SQRT((F26-B26)/365),0,1,TRUE),IF(G26="P",-1*D26*EXP(O26*(F26-B26)/365)*NORMDIST((-1*LN(D26*EXP(O26*(F26-B26)/365)/E26)-0.5*(N26+1%)*(N26+1%)*(F26-B26)/365)/(N26+1%)/SQRT((F26-B26)/365),0,1,TRUE)+E26*NORMDIST((-1*LN(D26*EXP(O26*(F26-B26)/365)/E26)+0.5*(N26+1%)*(N26+1%)*(F26-B26)/365)/(N26+1%)/SQRT((F26-B26)/365),0,1,TRUE),0))*EXP(-1*P26*(F26-B26)/365)-IF(G26="C",D26*EXP(O26*(F26-B26)/365)*NORMDIST((LN(D26*EXP(O26*(F26-B26)/365)/E26)+0.5*N26*N26*(F26-B26)/365)/N26/SQRT((F26-B26)/365),0,1,TRUE)-E26*NORMDIST((LN(D26*EXP(O26*(F26-B26)/365)/E26)-0.5*N26*N26*(F26-B26)/365)/N26/SQRT((F26-B26)/365),0,1,TRUE),IF(G26="P",-1*D26*EXP(O26*(F26-B26)/365)*NORMDIST((-1*LN(D26*EXP(O26*(F26-B26)/365)/E26)-0.5*N26*N26*(F26-B26)/365)/N26/SQRT((F26-B26)/365),0,1,TRUE)+E26*NORMDIST((-1*LN(D26*EXP(O26*(F26-B26)/365)/E26)+0.5*N26*N26*(F26-B26)/365)/N26/SQRT((F26-B26)/365),0,1,TRUE),0))*EXP(-1*P26*(F26-B26)/365)</f>
        <v>155.64721846122484</v>
      </c>
      <c r="K26" s="142">
        <f ca="1">'Summary Sheet'!$H$15*10000000/$J$36</f>
        <v>12809.6739179412</v>
      </c>
      <c r="L26" s="139">
        <f ca="1">K26*J26</f>
        <v>1993790.1147228477</v>
      </c>
      <c r="M26" s="139">
        <f t="shared" ref="M26:M40" ca="1" si="16">K26*I26</f>
        <v>-10816.07823336111</v>
      </c>
      <c r="N26" s="171">
        <f t="shared" ref="N26:N40" ca="1" si="17">(FORECAST(E26,OFFSET(t,MATCH(F26,y),MATCH(E26,x),,2),OFFSET(t,,MATCH(E26,x),,2))-((FORECAST(E26,OFFSET(t,MATCH(F26,y),MATCH(E26,x),,2),OFFSET(t,,MATCH(E26,x),,2))-FORECAST(E26,OFFSET(t,MATCH(F26,y)+1,MATCH(E26,x),,2),OFFSET(t,,MATCH(E26,x),,2)))*(F26-INDEX(y,MATCH(F26,y)))/(INDEX(y,MATCH(F26,y)+1)-INDEX(y,MATCH(F26,y)))))%+T26</f>
        <v>0.17700808452114217</v>
      </c>
      <c r="O26" s="143">
        <f>IF(U26="OLD",P26-R26,IF(U26="B",IF(G26="P",MAX(P26-R26,VLOOKUP(F26,'Pricing Params'!$B:$H,7,FALSE)),MIN(VLOOKUP(F26,'Pricing Params'!$B:$H,7,FALSE)-0.5%,P26-R26)),IF(G26="P",MIN(VLOOKUP(F26,'Pricing Params'!$B:$H,7,FALSE)-0.5%,P26-R26),MAX(P26-R26,VLOOKUP(F26,'Pricing Params'!$B:$H,7,FALSE)))))</f>
        <v>5.5E-2</v>
      </c>
      <c r="P26" s="144">
        <f>IF(AG26=AH26,AG26,FORECAST(F26,AG26:AH26,AE26:AF26))</f>
        <v>6.5000000000000002E-2</v>
      </c>
      <c r="Q26" s="141" t="s">
        <v>199</v>
      </c>
      <c r="R26" s="144">
        <f>SUMIF(MarketData!$I$26:$I$1204,"&lt;"&amp;F26,MarketData!$J$26:$J$1204)/D26*365/(F26-B26)*(IF(G26="P",IF(U$26="O",'Pricing Params'!$M$2,1),IF(U$26="O",1,IF(U$26="OLD",1,'Pricing Params'!$M$2))))</f>
        <v>1.2567509884139192E-2</v>
      </c>
      <c r="S26" s="145">
        <f t="shared" ref="S26:S40" si="18">EXP(O26*(F26-B26)/365)*D26</f>
        <v>47783.876663061434</v>
      </c>
      <c r="T26" s="143">
        <f>VLOOKUP(F26,'Pricing Params'!B:C,2,0)</f>
        <v>0</v>
      </c>
      <c r="U26" s="145" t="s">
        <v>47</v>
      </c>
      <c r="V26" s="146">
        <f t="shared" ref="V26:V40" ca="1" si="19">H26/D26</f>
        <v>0.6011726032632041</v>
      </c>
      <c r="W26" s="147">
        <f ca="1">IF(G26="C",(D26+1)*EXP(O26*(F26-B26)/365)*NORMDIST((LN((D26+1)*EXP(O26*(F26-B26)/365)/E26)+0.5*N26*N26*(F26-B26)/365)/N26/SQRT((F26-B26)/365),0,1,TRUE)-E26*NORMDIST((LN((D26+1)*EXP(O26*(F26-B26)/365)/E26)-0.5*N26*N26*(F26-B26)/365)/N26/SQRT((F26-B26)/365),0,1,TRUE),IF(G26="P",-1*(D26+1)*EXP(O26*(F26-B26)/365)*NORMDIST((-1*LN((D26+1)*EXP(O26*(F26-B26)/365)/E26)-0.5*N26*N26*(F26-B26)/365)/N26/SQRT((F26-B26)/365),0,1,TRUE)+E26*NORMDIST((-1*LN((D26+1)*EXP(O26*(F26-B26)/365)/E26)+0.5*N26*N26*(F26-B26)/365)/N26/SQRT((F26-B26)/365),0,1,TRUE),0))*EXP(-1*P26*(F26-B26)/365)+IF(G26="C",(D26-1)*EXP(O26*(F26-B26)/365)*NORMDIST((LN((D26-1)*EXP(O26*(F26-B26)/365)/E26)+0.5*N26*N26*(F26-B26)/365)/N26/SQRT((F26-B26)/365),0,1,TRUE)-E26*NORMDIST((LN((D26-1)*EXP(O26*(F26-B26)/365)/E26)-0.5*N26*N26*(F26-B26)/365)/N26/SQRT((F26-B26)/365),0,1,TRUE),IF(G26="P",-1*(D26-1)*EXP(O26*(F26-B26)/365)*NORMDIST((-1*LN((D26-1)*EXP(O26*(F26-B26)/365)/E26)-0.5*N26*N26*(F26-B26)/365)/N26/SQRT((F26-B26)/365),0,1,TRUE)+E26*NORMDIST((-1*LN((D26-1)*EXP(O26*(F26-B26)/365)/E26)+0.5*N26*N26*(F26-B26)/365)/N26/SQRT((F26-B26)/365),0,1,TRUE),0))*EXP(-1*P26*(F26-B26)/365)-2*IF(G26="C",D26*EXP(O26*(F26-B26)/365)*NORMDIST((LN(D26*EXP(O26*(F26-B26)/365)/E26)+0.5*N26*N26*(F26-B26)/365)/N26/SQRT((F26-B26)/365),0,1,TRUE)-E26*NORMDIST((LN(D26*EXP(O26*(F26-B26)/365)/E26)-0.5*N26*N26*(F26-B26)/365)/N26/SQRT((F26-B26)/365),0,1,TRUE),IF(G26="P",-1*D26*EXP(O26*(F26-B26)/365)*NORMDIST((-1*LN(D26*EXP(O26*(F26-B26)/365)/E26)-0.5*N26*N26*(F26-B26)/365)/N26/SQRT((F26-B26)/365),0,1,TRUE)+E26*NORMDIST((-1*LN(D26*EXP(O26*(F26-B26)/365)/E26)+0.5*N26*N26*(F26-B26)/365)/N26/SQRT((F26-B26)/365),0,1,TRUE),0))*EXP(-1*P26*(F26-B26)/365)</f>
        <v>1.4301003830041736E-5</v>
      </c>
      <c r="X26" s="148">
        <f ca="1">IF(G26="C",D26*EXP(O26*(F26-B26-1)/365)*NORMDIST((LN(D26*EXP(O26*(F26-B26-1)/365)/E26)+0.5*N26*N26*(F26-B26-1)/365)/N26/SQRT((F26-B26-1)/365),0,1,TRUE)-E26*NORMDIST((LN(D26*EXP(O26*(F26-B26-1)/365)/E26)-0.5*N26*N26*(F26-B26-1)/365)/N26/SQRT((F26-B26-1)/365),0,1,TRUE),IF(G26="P",-1*D26*EXP(O26*(F26-B26-1)/365)*NORMDIST((-1*LN(D26*EXP(O26*(F26-B26-1)/365)/E26)-0.5*N26*N26*(F26-B26-1)/365)/N26/SQRT((F26-B26-1)/365),0,1,TRUE)+E26*NORMDIST((-1*LN(D26*EXP(O26*(F26-B26-1)/365)/E26)+0.5*N26*N26*(F26-B26-1)/365)/N26/SQRT((F26-B26-1)/365),0,1,TRUE),0))*EXP(-1*P26*(F26-B26-1)/365)-IF(G26="C",D26*EXP(O26*(F26-B26)/365)*NORMDIST((LN(D26*EXP(O26*(F26-B26)/365)/E26)+0.5*N26*N26*(F26-B26)/365)/N26/SQRT((F26-B26)/365),0,1,TRUE)-E26*NORMDIST((LN(D26*EXP(O26*(F26-B26)/365)/E26)-0.5*N26*N26*(F26-B26)/365)/N26/SQRT((F26-B26)/365),0,1,TRUE),IF(G26="P",-1*D26*EXP(O26*(F26-B26)/365)*NORMDIST((-1*LN(D26*EXP(O26*(F26-B26)/365)/E26)-0.5*N26*N26*(F26-B26)/365)/N26/SQRT((F26-B26)/365),0,1,TRUE)+E26*NORMDIST((-1*LN(D26*EXP(O26*(F26-B26)/365)/E26)+0.5*N26*N26*(F26-B26)/365)/N26/SQRT((F26-B26)/365),0,1,TRUE),0))*EXP(-1*P26*(F26-B26)/365)</f>
        <v>8.0932699102413608</v>
      </c>
      <c r="Y26" s="148">
        <f ca="1">IF(G26="C",D26*EXP((O26+1%)*(F26-B26)/365)*NORMDIST((LN(D26*EXP((O26+1%)*(F26-B26)/365)/E26)+0.5*N26*N26*(F26-B26)/365)/N26/SQRT((F26-B26)/365),0,1,TRUE)-E26*NORMDIST((LN(D26*EXP((O26+1%)*(F26-B26)/365)/E26)-0.5*N26*N26*(F26-B26)/365)/N26/SQRT((F26-B26)/365),0,1,TRUE),IF(G26="P",-1*D26*EXP((O26+1%)*(F26-B26)/365)*NORMDIST((-1*LN(D26*EXP((O26+1%)*(F26-B26)/365)/E26)-0.5*N26*N26*(F26-B26)/365)/N26/SQRT((F26-B26)/365),0,1,TRUE)+E26*NORMDIST((-1*LN(D26*EXP((O26+1%)*(F26-B26)/365)/E26)+0.5*N26*N26*(F26-B26)/365)/N26/SQRT((F26-B26)/365),0,1,TRUE),0))*EXP(-1*(P26+1%)*(F26-B26)/365)-IF(G26="C",D26*EXP(O26*(F26-B26)/365)*NORMDIST((LN(D26*EXP(O26*(F26-B26)/365)/E26)+0.5*N26*N26*(F26-B26)/365)/N26/SQRT((F26-B26)/365),0,1,TRUE)-E26*NORMDIST((LN(D26*EXP(O26*(F26-B26)/365)/E26)-0.5*N26*N26*(F26-B26)/365)/N26/SQRT((F26-B26)/365),0,1,TRUE),IF(G26="P",-1*D26*EXP(O26*(F26-B26)/365)*NORMDIST((-1*LN(D26*EXP(O26*(F26-B26)/365)/E26)-0.5*N26*N26*(F26-B26)/365)/N26/SQRT((F26-B26)/365),0,1,TRUE)+E26*NORMDIST((-1*LN(D26*EXP(O26*(F26-B26)/365)/E26)+0.5*N26*N26*(F26-B26)/365)/N26/SQRT((F26-B26)/365),0,1,TRUE),0))*EXP(-1*P26*(F26-B26)/365)</f>
        <v>-2146.176402282279</v>
      </c>
      <c r="Z26" s="149">
        <f t="shared" ref="Z26:Z40" ca="1" si="20">K26*H26*-1</f>
        <v>-295707830.20962864</v>
      </c>
      <c r="AA26" s="149">
        <f t="shared" ref="AA26:AA40" ca="1" si="21">I26*D26*K26</f>
        <v>-415331996.12194991</v>
      </c>
      <c r="AB26" s="150">
        <f t="shared" ref="AB26:AB40" ca="1" si="22">K26*W26</f>
        <v>0.18319119576206283</v>
      </c>
      <c r="AC26" s="149">
        <f t="shared" ref="AC26:AC40" ca="1" si="23">X26*K26</f>
        <v>103672.14848007707</v>
      </c>
      <c r="AD26" s="149">
        <f t="shared" ref="AD26:AD40" ca="1" si="24">Y26*K26</f>
        <v>-27491819.88361619</v>
      </c>
      <c r="AE26" s="151">
        <f>IF(F26&gt;MarketData!$B$26,INDEX(MarketData!$B$26:$B$64,MATCH(F26,MarketData!$B$26:$B$64)),MarketData!$B$26)</f>
        <v>46021</v>
      </c>
      <c r="AF26" s="151">
        <f>IF(AE26&gt;MarketData!$B$26,INDEX(MarketData!$B$26:$B$64,MATCH(AE26,MarketData!$B$26:$B$64)+1),MarketData!$B$26)</f>
        <v>0</v>
      </c>
      <c r="AG26" s="169">
        <f>VLOOKUP(AE26,MarketData!$B$26:$D$43,3,0)/100</f>
        <v>6.5000000000000002E-2</v>
      </c>
      <c r="AH26" s="146">
        <f>IF(AF26=0,AG26,VLOOKUP(AF26,MarketData!$B$26:$D$43,3,0)/100)</f>
        <v>6.5000000000000002E-2</v>
      </c>
    </row>
    <row r="27" spans="2:34">
      <c r="B27" s="20">
        <f>'Summary Sheet'!$C$2</f>
        <v>46238</v>
      </c>
      <c r="C27" s="10">
        <v>-0.45</v>
      </c>
      <c r="D27" s="138">
        <f t="shared" si="13"/>
        <v>42239.450000000004</v>
      </c>
      <c r="E27" s="138">
        <f t="shared" ref="E27:E40" si="25">$C$3</f>
        <v>76800</v>
      </c>
      <c r="F27" s="20">
        <f t="shared" ref="F27:F40" si="26">$C$4</f>
        <v>47689</v>
      </c>
      <c r="G27" s="4" t="s">
        <v>29</v>
      </c>
      <c r="H27" s="139">
        <f t="shared" ca="1" si="14"/>
        <v>19955.461861187356</v>
      </c>
      <c r="I27" s="127">
        <f t="shared" ca="1" si="15"/>
        <v>-0.78363045528749353</v>
      </c>
      <c r="J27" s="127">
        <f t="shared" ref="J27:J40" ca="1" si="27">IF(G27="C",D27*EXP(O27*(F27-B27)/365)*NORMDIST((LN(D27*EXP(O27*(F27-B27)/365)/E27)+0.5*(N27+1%)*(N27+1%)*(F27-B27)/365)/(N27+1%)/SQRT((F27-B27)/365),0,1,TRUE)-E27*NORMDIST((LN(D27*EXP(O27*(F27-B27)/365)/E27)-0.5*(N27+1%)*(N27+1%)*(F27-B27)/365)/(N27+1%)/SQRT((F27-B27)/365),0,1,TRUE),IF(G27="P",-1*D27*EXP(O27*(F27-B27)/365)*NORMDIST((-1*LN(D27*EXP(O27*(F27-B27)/365)/E27)-0.5*(N27+1%)*(N27+1%)*(F27-B27)/365)/(N27+1%)/SQRT((F27-B27)/365),0,1,TRUE)+E27*NORMDIST((-1*LN(D27*EXP(O27*(F27-B27)/365)/E27)+0.5*(N27+1%)*(N27+1%)*(F27-B27)/365)/(N27+1%)/SQRT((F27-B27)/365),0,1,TRUE),0))*EXP(-1*P27*(F27-B27)/365)-IF(G27="C",D27*EXP(O27*(F27-B27)/365)*NORMDIST((LN(D27*EXP(O27*(F27-B27)/365)/E27)+0.5*N27*N27*(F27-B27)/365)/N27/SQRT((F27-B27)/365),0,1,TRUE)-E27*NORMDIST((LN(D27*EXP(O27*(F27-B27)/365)/E27)-0.5*N27*N27*(F27-B27)/365)/N27/SQRT((F27-B27)/365),0,1,TRUE),IF(G27="P",-1*D27*EXP(O27*(F27-B27)/365)*NORMDIST((-1*LN(D27*EXP(O27*(F27-B27)/365)/E27)-0.5*N27*N27*(F27-B27)/365)/N27/SQRT((F27-B27)/365),0,1,TRUE)+E27*NORMDIST((-1*LN(D27*EXP(O27*(F27-B27)/365)/E27)+0.5*N27*N27*(F27-B27)/365)/N27/SQRT((F27-B27)/365),0,1,TRUE),0))*EXP(-1*P27*(F27-B27)/365)</f>
        <v>222.33931030160966</v>
      </c>
      <c r="K27" s="142">
        <f ca="1">'Summary Sheet'!$H$15*10000000/$J$36</f>
        <v>12809.6739179412</v>
      </c>
      <c r="L27" s="139">
        <f t="shared" ref="L27:L38" ca="1" si="28">K27*J27</f>
        <v>2848094.0641035642</v>
      </c>
      <c r="M27" s="139">
        <f t="shared" ca="1" si="16"/>
        <v>-10038.050604400594</v>
      </c>
      <c r="N27" s="171">
        <f t="shared" ca="1" si="17"/>
        <v>0.17700808452114217</v>
      </c>
      <c r="O27" s="143">
        <f>IF(U27="OLD",P27-R27,IF(U27="B",IF(G27="P",MAX(P27-R27,VLOOKUP(F27,'Pricing Params'!$B:$H,7,FALSE)),MIN(VLOOKUP(F27,'Pricing Params'!$B:$H,7,FALSE)-0.5%,P27-R27)),IF(G27="P",MIN(VLOOKUP(F27,'Pricing Params'!$B:$H,7,FALSE)-0.5%,P27-R27),MAX(P27-R27,VLOOKUP(F27,'Pricing Params'!$B:$H,7,FALSE)))))</f>
        <v>5.5E-2</v>
      </c>
      <c r="P27" s="144">
        <f t="shared" ref="P27:P40" si="29">IF(AG27=AH27,AG27,FORECAST(F27,AG27:AH27,AE27:AF27))</f>
        <v>6.5000000000000002E-2</v>
      </c>
      <c r="Q27" s="141" t="s">
        <v>199</v>
      </c>
      <c r="R27" s="144">
        <f>SUMIF(MarketData!$I$26:$I$1204,"&lt;"&amp;F27,MarketData!$J$26:$J$1204)/D27*365/(F27-B27)*(IF(G27="P",IF(U$26="O",'Pricing Params'!$M$2,1),IF(U$26="O",1,IF(U$26="OLD",1,'Pricing Params'!$M$2))))</f>
        <v>1.1425008985581081E-2</v>
      </c>
      <c r="S27" s="145">
        <f t="shared" si="18"/>
        <v>52562.264329367586</v>
      </c>
      <c r="T27" s="143">
        <f>VLOOKUP(F27,'Pricing Params'!B:C,2,0)</f>
        <v>0</v>
      </c>
      <c r="U27" s="145" t="s">
        <v>47</v>
      </c>
      <c r="V27" s="146">
        <f t="shared" ca="1" si="19"/>
        <v>0.47243659330761534</v>
      </c>
      <c r="W27" s="147">
        <f t="shared" ref="W27:W40" ca="1" si="30">IF(G27="C",(D27+1)*EXP(O27*(F27-B27)/365)*NORMDIST((LN((D27+1)*EXP(O27*(F27-B27)/365)/E27)+0.5*N27*N27*(F27-B27)/365)/N27/SQRT((F27-B27)/365),0,1,TRUE)-E27*NORMDIST((LN((D27+1)*EXP(O27*(F27-B27)/365)/E27)-0.5*N27*N27*(F27-B27)/365)/N27/SQRT((F27-B27)/365),0,1,TRUE),IF(G27="P",-1*(D27+1)*EXP(O27*(F27-B27)/365)*NORMDIST((-1*LN((D27+1)*EXP(O27*(F27-B27)/365)/E27)-0.5*N27*N27*(F27-B27)/365)/N27/SQRT((F27-B27)/365),0,1,TRUE)+E27*NORMDIST((-1*LN((D27+1)*EXP(O27*(F27-B27)/365)/E27)+0.5*N27*N27*(F27-B27)/365)/N27/SQRT((F27-B27)/365),0,1,TRUE),0))*EXP(-1*P27*(F27-B27)/365)+IF(G27="C",(D27-1)*EXP(O27*(F27-B27)/365)*NORMDIST((LN((D27-1)*EXP(O27*(F27-B27)/365)/E27)+0.5*N27*N27*(F27-B27)/365)/N27/SQRT((F27-B27)/365),0,1,TRUE)-E27*NORMDIST((LN((D27-1)*EXP(O27*(F27-B27)/365)/E27)-0.5*N27*N27*(F27-B27)/365)/N27/SQRT((F27-B27)/365),0,1,TRUE),IF(G27="P",-1*(D27-1)*EXP(O27*(F27-B27)/365)*NORMDIST((-1*LN((D27-1)*EXP(O27*(F27-B27)/365)/E27)-0.5*N27*N27*(F27-B27)/365)/N27/SQRT((F27-B27)/365),0,1,TRUE)+E27*NORMDIST((-1*LN((D27-1)*EXP(O27*(F27-B27)/365)/E27)+0.5*N27*N27*(F27-B27)/365)/N27/SQRT((F27-B27)/365),0,1,TRUE),0))*EXP(-1*P27*(F27-B27)/365)-2*IF(G27="C",D27*EXP(O27*(F27-B27)/365)*NORMDIST((LN(D27*EXP(O27*(F27-B27)/365)/E27)+0.5*N27*N27*(F27-B27)/365)/N27/SQRT((F27-B27)/365),0,1,TRUE)-E27*NORMDIST((LN(D27*EXP(O27*(F27-B27)/365)/E27)-0.5*N27*N27*(F27-B27)/365)/N27/SQRT((F27-B27)/365),0,1,TRUE),IF(G27="P",-1*D27*EXP(O27*(F27-B27)/365)*NORMDIST((-1*LN(D27*EXP(O27*(F27-B27)/365)/E27)-0.5*N27*N27*(F27-B27)/365)/N27/SQRT((F27-B27)/365),0,1,TRUE)+E27*NORMDIST((-1*LN(D27*EXP(O27*(F27-B27)/365)/E27)+0.5*N27*N27*(F27-B27)/365)/N27/SQRT((F27-B27)/365),0,1,TRUE),0))*EXP(-1*P27*(F27-B27)/365)</f>
        <v>1.7184393072966486E-5</v>
      </c>
      <c r="X27" s="148">
        <f t="shared" ref="X27:X40" ca="1" si="31">IF(G27="C",D27*EXP(O27*(F27-B27-1)/365)*NORMDIST((LN(D27*EXP(O27*(F27-B27-1)/365)/E27)+0.5*N27*N27*(F27-B27-1)/365)/N27/SQRT((F27-B27-1)/365),0,1,TRUE)-E27*NORMDIST((LN(D27*EXP(O27*(F27-B27-1)/365)/E27)-0.5*N27*N27*(F27-B27-1)/365)/N27/SQRT((F27-B27-1)/365),0,1,TRUE),IF(G27="P",-1*D27*EXP(O27*(F27-B27-1)/365)*NORMDIST((-1*LN(D27*EXP(O27*(F27-B27-1)/365)/E27)-0.5*N27*N27*(F27-B27-1)/365)/N27/SQRT((F27-B27-1)/365),0,1,TRUE)+E27*NORMDIST((-1*LN(D27*EXP(O27*(F27-B27-1)/365)/E27)+0.5*N27*N27*(F27-B27-1)/365)/N27/SQRT((F27-B27-1)/365),0,1,TRUE),0))*EXP(-1*P27*(F27-B27-1)/365)-IF(G27="C",D27*EXP(O27*(F27-B27)/365)*NORMDIST((LN(D27*EXP(O27*(F27-B27)/365)/E27)+0.5*N27*N27*(F27-B27)/365)/N27/SQRT((F27-B27)/365),0,1,TRUE)-E27*NORMDIST((LN(D27*EXP(O27*(F27-B27)/365)/E27)-0.5*N27*N27*(F27-B27)/365)/N27/SQRT((F27-B27)/365),0,1,TRUE),IF(G27="P",-1*D27*EXP(O27*(F27-B27)/365)*NORMDIST((-1*LN(D27*EXP(O27*(F27-B27)/365)/E27)-0.5*N27*N27*(F27-B27)/365)/N27/SQRT((F27-B27)/365),0,1,TRUE)+E27*NORMDIST((-1*LN(D27*EXP(O27*(F27-B27)/365)/E27)+0.5*N27*N27*(F27-B27)/365)/N27/SQRT((F27-B27)/365),0,1,TRUE),0))*EXP(-1*P27*(F27-B27)/365)</f>
        <v>7.2271410002285847</v>
      </c>
      <c r="Y27" s="148">
        <f t="shared" ref="Y27:Y40" ca="1" si="32">IF(G27="C",D27*EXP((O27+1%)*(F27-B27)/365)*NORMDIST((LN(D27*EXP((O27+1%)*(F27-B27)/365)/E27)+0.5*N27*N27*(F27-B27)/365)/N27/SQRT((F27-B27)/365),0,1,TRUE)-E27*NORMDIST((LN(D27*EXP((O27+1%)*(F27-B27)/365)/E27)-0.5*N27*N27*(F27-B27)/365)/N27/SQRT((F27-B27)/365),0,1,TRUE),IF(G27="P",-1*D27*EXP((O27+1%)*(F27-B27)/365)*NORMDIST((-1*LN(D27*EXP((O27+1%)*(F27-B27)/365)/E27)-0.5*N27*N27*(F27-B27)/365)/N27/SQRT((F27-B27)/365),0,1,TRUE)+E27*NORMDIST((-1*LN(D27*EXP((O27+1%)*(F27-B27)/365)/E27)+0.5*N27*N27*(F27-B27)/365)/N27/SQRT((F27-B27)/365),0,1,TRUE),0))*EXP(-1*(P27+1%)*(F27-B27)/365)-IF(G27="C",D27*EXP(O27*(F27-B27)/365)*NORMDIST((LN(D27*EXP(O27*(F27-B27)/365)/E27)+0.5*N27*N27*(F27-B27)/365)/N27/SQRT((F27-B27)/365),0,1,TRUE)-E27*NORMDIST((LN(D27*EXP(O27*(F27-B27)/365)/E27)-0.5*N27*N27*(F27-B27)/365)/N27/SQRT((F27-B27)/365),0,1,TRUE),IF(G27="P",-1*D27*EXP(O27*(F27-B27)/365)*NORMDIST((-1*LN(D27*EXP(O27*(F27-B27)/365)/E27)-0.5*N27*N27*(F27-B27)/365)/N27/SQRT((F27-B27)/365),0,1,TRUE)+E27*NORMDIST((-1*LN(D27*EXP(O27*(F27-B27)/365)/E27)+0.5*N27*N27*(F27-B27)/365)/N27/SQRT((F27-B27)/365),0,1,TRUE),0))*EXP(-1*P27*(F27-B27)/365)</f>
        <v>-2043.0569737092192</v>
      </c>
      <c r="Z27" s="149">
        <f t="shared" ca="1" si="20"/>
        <v>-255622959.32372203</v>
      </c>
      <c r="AA27" s="149">
        <f t="shared" ca="1" si="21"/>
        <v>-424001736.60204875</v>
      </c>
      <c r="AB27" s="150">
        <f t="shared" ca="1" si="22"/>
        <v>0.22012647174242822</v>
      </c>
      <c r="AC27" s="149">
        <f t="shared" ca="1" si="23"/>
        <v>92577.319571911576</v>
      </c>
      <c r="AD27" s="149">
        <f t="shared" ca="1" si="24"/>
        <v>-26170893.628990863</v>
      </c>
      <c r="AE27" s="151">
        <f>IF(F27&gt;MarketData!$B$26,INDEX(MarketData!$B$26:$B$64,MATCH(F27,MarketData!$B$26:$B$64)),MarketData!$B$26)</f>
        <v>46021</v>
      </c>
      <c r="AF27" s="151">
        <f>IF(AE27&gt;MarketData!$B$26,INDEX(MarketData!$B$26:$B$64,MATCH(AE27,MarketData!$B$26:$B$64)+1),MarketData!$B$26)</f>
        <v>0</v>
      </c>
      <c r="AG27" s="169">
        <f>VLOOKUP(AE27,MarketData!$B$26:$D$43,3,0)/100</f>
        <v>6.5000000000000002E-2</v>
      </c>
      <c r="AH27" s="146">
        <f>IF(AF27=0,AG27,VLOOKUP(AF27,MarketData!$B$26:$D$43,3,0)/100)</f>
        <v>6.5000000000000002E-2</v>
      </c>
    </row>
    <row r="28" spans="2:34">
      <c r="B28" s="20">
        <f>'Summary Sheet'!$C$2</f>
        <v>46238</v>
      </c>
      <c r="C28" s="10">
        <v>-0.4</v>
      </c>
      <c r="D28" s="138">
        <f t="shared" si="13"/>
        <v>46079.4</v>
      </c>
      <c r="E28" s="138">
        <f t="shared" si="25"/>
        <v>76800</v>
      </c>
      <c r="F28" s="20">
        <f t="shared" si="26"/>
        <v>47689</v>
      </c>
      <c r="G28" s="4" t="s">
        <v>29</v>
      </c>
      <c r="H28" s="139">
        <f t="shared" ca="1" si="14"/>
        <v>17078.339959799545</v>
      </c>
      <c r="I28" s="127">
        <f t="shared" ca="1" si="15"/>
        <v>-0.713684106063738</v>
      </c>
      <c r="J28" s="127">
        <f t="shared" ca="1" si="27"/>
        <v>289.9155417354159</v>
      </c>
      <c r="K28" s="142">
        <f ca="1">'Summary Sheet'!$H$15*10000000/$J$36</f>
        <v>12809.6739179412</v>
      </c>
      <c r="L28" s="139">
        <f t="shared" ca="1" si="28"/>
        <v>3713723.5533739505</v>
      </c>
      <c r="M28" s="139">
        <f t="shared" ca="1" si="16"/>
        <v>-9142.0606790938455</v>
      </c>
      <c r="N28" s="171">
        <f t="shared" ca="1" si="17"/>
        <v>0.17700808452114217</v>
      </c>
      <c r="O28" s="143">
        <f>IF(U28="OLD",P28-R28,IF(U28="B",IF(G28="P",MAX(P28-R28,VLOOKUP(F28,'Pricing Params'!$B:$H,7,FALSE)),MIN(VLOOKUP(F28,'Pricing Params'!$B:$H,7,FALSE)-0.5%,P28-R28)),IF(G28="P",MIN(VLOOKUP(F28,'Pricing Params'!$B:$H,7,FALSE)-0.5%,P28-R28),MAX(P28-R28,VLOOKUP(F28,'Pricing Params'!$B:$H,7,FALSE)))))</f>
        <v>5.5E-2</v>
      </c>
      <c r="P28" s="144">
        <f t="shared" si="29"/>
        <v>6.5000000000000002E-2</v>
      </c>
      <c r="Q28" s="141" t="s">
        <v>199</v>
      </c>
      <c r="R28" s="144">
        <f>SUMIF(MarketData!$I$26:$I$1204,"&lt;"&amp;F28,MarketData!$J$26:$J$1204)/D28*365/(F28-B28)*(IF(G28="P",IF(U$26="O",'Pricing Params'!$M$2,1),IF(U$26="O",1,IF(U$26="OLD",1,'Pricing Params'!$M$2))))</f>
        <v>1.0472924903449326E-2</v>
      </c>
      <c r="S28" s="145">
        <f t="shared" si="18"/>
        <v>57340.651995673725</v>
      </c>
      <c r="T28" s="143">
        <f>VLOOKUP(F28,'Pricing Params'!B:C,2,0)</f>
        <v>0</v>
      </c>
      <c r="U28" s="145" t="s">
        <v>47</v>
      </c>
      <c r="V28" s="146">
        <f t="shared" ca="1" si="19"/>
        <v>0.37062852293648668</v>
      </c>
      <c r="W28" s="147">
        <f t="shared" ca="1" si="30"/>
        <v>1.9067760149482638E-5</v>
      </c>
      <c r="X28" s="148">
        <f t="shared" ca="1" si="31"/>
        <v>6.2606595280885813</v>
      </c>
      <c r="Y28" s="148">
        <f t="shared" ca="1" si="32"/>
        <v>-1914.9709076309118</v>
      </c>
      <c r="Z28" s="149">
        <f t="shared" ca="1" si="20"/>
        <v>-218767965.94477719</v>
      </c>
      <c r="AA28" s="149">
        <f t="shared" ca="1" si="21"/>
        <v>-421260670.85623693</v>
      </c>
      <c r="AB28" s="150">
        <f t="shared" ca="1" si="22"/>
        <v>0.24425178986038634</v>
      </c>
      <c r="AC28" s="149">
        <f t="shared" ca="1" si="23"/>
        <v>80197.007066066362</v>
      </c>
      <c r="AD28" s="149">
        <f t="shared" ca="1" si="24"/>
        <v>-24530152.889095876</v>
      </c>
      <c r="AE28" s="151">
        <f>IF(F28&gt;MarketData!$B$26,INDEX(MarketData!$B$26:$B$64,MATCH(F28,MarketData!$B$26:$B$64)),MarketData!$B$26)</f>
        <v>46021</v>
      </c>
      <c r="AF28" s="151">
        <f>IF(AE28&gt;MarketData!$B$26,INDEX(MarketData!$B$26:$B$64,MATCH(AE28,MarketData!$B$26:$B$64)+1),MarketData!$B$26)</f>
        <v>0</v>
      </c>
      <c r="AG28" s="169">
        <f>VLOOKUP(AE28,MarketData!$B$26:$D$43,3,0)/100</f>
        <v>6.5000000000000002E-2</v>
      </c>
      <c r="AH28" s="146">
        <f>IF(AF28=0,AG28,VLOOKUP(AF28,MarketData!$B$26:$D$43,3,0)/100)</f>
        <v>6.5000000000000002E-2</v>
      </c>
    </row>
    <row r="29" spans="2:34">
      <c r="B29" s="20">
        <f>'Summary Sheet'!$C$2</f>
        <v>46238</v>
      </c>
      <c r="C29" s="10">
        <v>-0.35</v>
      </c>
      <c r="D29" s="138">
        <f t="shared" si="13"/>
        <v>49919.35</v>
      </c>
      <c r="E29" s="138">
        <f t="shared" si="25"/>
        <v>76800</v>
      </c>
      <c r="F29" s="20">
        <f t="shared" si="26"/>
        <v>47689</v>
      </c>
      <c r="G29" s="4" t="s">
        <v>29</v>
      </c>
      <c r="H29" s="139">
        <f t="shared" ca="1" si="14"/>
        <v>14438.913252429362</v>
      </c>
      <c r="I29" s="127">
        <f t="shared" ca="1" si="15"/>
        <v>-0.63809308174677426</v>
      </c>
      <c r="J29" s="127">
        <f t="shared" ca="1" si="27"/>
        <v>352.74675191329334</v>
      </c>
      <c r="K29" s="142">
        <f ca="1">'Summary Sheet'!$H$15*10000000/$J$36</f>
        <v>12809.6739179412</v>
      </c>
      <c r="L29" s="139">
        <f t="shared" ca="1" si="28"/>
        <v>4518570.8676221883</v>
      </c>
      <c r="M29" s="139">
        <f t="shared" ca="1" si="16"/>
        <v>-8173.7643064703761</v>
      </c>
      <c r="N29" s="171">
        <f t="shared" ca="1" si="17"/>
        <v>0.17700808452114217</v>
      </c>
      <c r="O29" s="143">
        <f>IF(U29="OLD",P29-R29,IF(U29="B",IF(G29="P",MAX(P29-R29,VLOOKUP(F29,'Pricing Params'!$B:$H,7,FALSE)),MIN(VLOOKUP(F29,'Pricing Params'!$B:$H,7,FALSE)-0.5%,P29-R29)),IF(G29="P",MIN(VLOOKUP(F29,'Pricing Params'!$B:$H,7,FALSE)-0.5%,P29-R29),MAX(P29-R29,VLOOKUP(F29,'Pricing Params'!$B:$H,7,FALSE)))))</f>
        <v>5.533268470450832E-2</v>
      </c>
      <c r="P29" s="144">
        <f t="shared" si="29"/>
        <v>6.5000000000000002E-2</v>
      </c>
      <c r="Q29" s="141" t="s">
        <v>199</v>
      </c>
      <c r="R29" s="144">
        <f>SUMIF(MarketData!$I$26:$I$1204,"&lt;"&amp;F29,MarketData!$J$26:$J$1204)/D29*365/(F29-B29)*(IF(G29="P",IF(U$26="O",'Pricing Params'!$M$2,1),IF(U$26="O",1,IF(U$26="OLD",1,'Pricing Params'!$M$2))))</f>
        <v>9.6673152954916859E-3</v>
      </c>
      <c r="S29" s="145">
        <f t="shared" si="18"/>
        <v>62201.248655633135</v>
      </c>
      <c r="T29" s="143">
        <f>VLOOKUP(F29,'Pricing Params'!B:C,2,0)</f>
        <v>0</v>
      </c>
      <c r="U29" s="145" t="s">
        <v>47</v>
      </c>
      <c r="V29" s="146">
        <f t="shared" ca="1" si="19"/>
        <v>0.28924481693830872</v>
      </c>
      <c r="W29" s="147">
        <f t="shared" ca="1" si="30"/>
        <v>1.9943345250794664E-5</v>
      </c>
      <c r="X29" s="148">
        <f t="shared" ca="1" si="31"/>
        <v>5.2684778540242405</v>
      </c>
      <c r="Y29" s="148">
        <f t="shared" ca="1" si="32"/>
        <v>-1764.8373760500835</v>
      </c>
      <c r="Z29" s="149">
        <f t="shared" ca="1" si="20"/>
        <v>-184957770.49305993</v>
      </c>
      <c r="AA29" s="149">
        <f t="shared" ca="1" si="21"/>
        <v>-408029001.23220199</v>
      </c>
      <c r="AB29" s="150">
        <f t="shared" ca="1" si="22"/>
        <v>0.25546774949560092</v>
      </c>
      <c r="AC29" s="149">
        <f t="shared" ca="1" si="23"/>
        <v>67487.483353945136</v>
      </c>
      <c r="AD29" s="149">
        <f t="shared" ca="1" si="24"/>
        <v>-22606991.305396542</v>
      </c>
      <c r="AE29" s="151">
        <f>IF(F29&gt;MarketData!$B$26,INDEX(MarketData!$B$26:$B$64,MATCH(F29,MarketData!$B$26:$B$64)),MarketData!$B$26)</f>
        <v>46021</v>
      </c>
      <c r="AF29" s="151">
        <f>IF(AE29&gt;MarketData!$B$26,INDEX(MarketData!$B$26:$B$64,MATCH(AE29,MarketData!$B$26:$B$64)+1),MarketData!$B$26)</f>
        <v>0</v>
      </c>
      <c r="AG29" s="169">
        <f>VLOOKUP(AE29,MarketData!$B$26:$D$43,3,0)/100</f>
        <v>6.5000000000000002E-2</v>
      </c>
      <c r="AH29" s="146">
        <f>IF(AF29=0,AG29,VLOOKUP(AF29,MarketData!$B$26:$D$43,3,0)/100)</f>
        <v>6.5000000000000002E-2</v>
      </c>
    </row>
    <row r="30" spans="2:34">
      <c r="B30" s="20">
        <f>'Summary Sheet'!$C$2</f>
        <v>46238</v>
      </c>
      <c r="C30" s="10">
        <v>-0.3</v>
      </c>
      <c r="D30" s="138">
        <f t="shared" si="13"/>
        <v>53759.299999999996</v>
      </c>
      <c r="E30" s="138">
        <f t="shared" si="25"/>
        <v>76800</v>
      </c>
      <c r="F30" s="20">
        <f t="shared" si="26"/>
        <v>47689</v>
      </c>
      <c r="G30" s="4" t="s">
        <v>29</v>
      </c>
      <c r="H30" s="139">
        <f t="shared" ca="1" si="14"/>
        <v>12053.094270183807</v>
      </c>
      <c r="I30" s="127">
        <f t="shared" ca="1" si="15"/>
        <v>-0.56014396267164557</v>
      </c>
      <c r="J30" s="127">
        <f t="shared" ca="1" si="27"/>
        <v>405.392040785071</v>
      </c>
      <c r="K30" s="142">
        <f ca="1">'Summary Sheet'!$H$15*10000000/$J$36</f>
        <v>12809.6739179412</v>
      </c>
      <c r="L30" s="139">
        <f t="shared" ca="1" si="28"/>
        <v>5192939.8513854789</v>
      </c>
      <c r="M30" s="139">
        <f t="shared" ca="1" si="16"/>
        <v>-7175.2615089272076</v>
      </c>
      <c r="N30" s="171">
        <f t="shared" ca="1" si="17"/>
        <v>0.17700808452114217</v>
      </c>
      <c r="O30" s="143">
        <f>IF(U30="OLD",P30-R30,IF(U30="B",IF(G30="P",MAX(P30-R30,VLOOKUP(F30,'Pricing Params'!$B:$H,7,FALSE)),MIN(VLOOKUP(F30,'Pricing Params'!$B:$H,7,FALSE)-0.5%,P30-R30)),IF(G30="P",MIN(VLOOKUP(F30,'Pricing Params'!$B:$H,7,FALSE)-0.5%,P30-R30),MAX(P30-R30,VLOOKUP(F30,'Pricing Params'!$B:$H,7,FALSE)))))</f>
        <v>5.6023207225614866E-2</v>
      </c>
      <c r="P30" s="144">
        <f t="shared" si="29"/>
        <v>6.5000000000000002E-2</v>
      </c>
      <c r="Q30" s="141" t="s">
        <v>199</v>
      </c>
      <c r="R30" s="144">
        <f>SUMIF(MarketData!$I$26:$I$1204,"&lt;"&amp;F30,MarketData!$J$26:$J$1204)/D30*365/(F30-B30)*(IF(G30="P",IF(U$26="O",'Pricing Params'!$M$2,1),IF(U$26="O",1,IF(U$26="OLD",1,'Pricing Params'!$M$2))))</f>
        <v>8.9767927743851367E-3</v>
      </c>
      <c r="S30" s="145">
        <f t="shared" si="18"/>
        <v>67170.093418066157</v>
      </c>
      <c r="T30" s="143">
        <f>VLOOKUP(F30,'Pricing Params'!B:C,2,0)</f>
        <v>0</v>
      </c>
      <c r="U30" s="145" t="s">
        <v>47</v>
      </c>
      <c r="V30" s="146">
        <f t="shared" ca="1" si="19"/>
        <v>0.22420482168078468</v>
      </c>
      <c r="W30" s="147">
        <f t="shared" ca="1" si="30"/>
        <v>1.9875405996572226E-5</v>
      </c>
      <c r="X30" s="148">
        <f t="shared" ca="1" si="31"/>
        <v>4.3041486121819617</v>
      </c>
      <c r="Y30" s="148">
        <f t="shared" ca="1" si="32"/>
        <v>-1598.2743337998709</v>
      </c>
      <c r="Z30" s="149">
        <f t="shared" ca="1" si="20"/>
        <v>-154396207.30326003</v>
      </c>
      <c r="AA30" s="149">
        <f t="shared" ca="1" si="21"/>
        <v>-385737036.03687042</v>
      </c>
      <c r="AB30" s="150">
        <f t="shared" ca="1" si="22"/>
        <v>0.25459746980278336</v>
      </c>
      <c r="AC30" s="149">
        <f t="shared" ca="1" si="23"/>
        <v>55134.740216410086</v>
      </c>
      <c r="AD30" s="149">
        <f t="shared" ca="1" si="24"/>
        <v>-20473373.047391053</v>
      </c>
      <c r="AE30" s="151">
        <f>IF(F30&gt;MarketData!$B$26,INDEX(MarketData!$B$26:$B$64,MATCH(F30,MarketData!$B$26:$B$64)),MarketData!$B$26)</f>
        <v>46021</v>
      </c>
      <c r="AF30" s="151">
        <f>IF(AE30&gt;MarketData!$B$26,INDEX(MarketData!$B$26:$B$64,MATCH(AE30,MarketData!$B$26:$B$64)+1),MarketData!$B$26)</f>
        <v>0</v>
      </c>
      <c r="AG30" s="169">
        <f>VLOOKUP(AE30,MarketData!$B$26:$D$43,3,0)/100</f>
        <v>6.5000000000000002E-2</v>
      </c>
      <c r="AH30" s="146">
        <f>IF(AF30=0,AG30,VLOOKUP(AF30,MarketData!$B$26:$D$43,3,0)/100)</f>
        <v>6.5000000000000002E-2</v>
      </c>
    </row>
    <row r="31" spans="2:34">
      <c r="B31" s="20">
        <f>'Summary Sheet'!$C$2</f>
        <v>46238</v>
      </c>
      <c r="C31" s="10">
        <v>-0.25</v>
      </c>
      <c r="D31" s="138">
        <f t="shared" si="13"/>
        <v>57599.25</v>
      </c>
      <c r="E31" s="138">
        <f t="shared" si="25"/>
        <v>76800</v>
      </c>
      <c r="F31" s="20">
        <f t="shared" si="26"/>
        <v>47689</v>
      </c>
      <c r="G31" s="4" t="s">
        <v>29</v>
      </c>
      <c r="H31" s="139">
        <f t="shared" ca="1" si="14"/>
        <v>9980.3697630579863</v>
      </c>
      <c r="I31" s="127">
        <f t="shared" ca="1" si="15"/>
        <v>-0.48397860443401441</v>
      </c>
      <c r="J31" s="127">
        <f t="shared" ca="1" si="27"/>
        <v>443.12395062251016</v>
      </c>
      <c r="K31" s="142">
        <f ca="1">'Summary Sheet'!$H$15*10000000/$J$36</f>
        <v>12809.6739179412</v>
      </c>
      <c r="L31" s="139">
        <f t="shared" ca="1" si="28"/>
        <v>5676273.3127042325</v>
      </c>
      <c r="M31" s="139">
        <f t="shared" ca="1" si="16"/>
        <v>-6199.6081060599754</v>
      </c>
      <c r="N31" s="171">
        <f t="shared" ca="1" si="17"/>
        <v>0.17700808452114217</v>
      </c>
      <c r="O31" s="143">
        <f>IF(U31="OLD",P31-R31,IF(U31="B",IF(G31="P",MAX(P31-R31,VLOOKUP(F31,'Pricing Params'!$B:$H,7,FALSE)),MIN(VLOOKUP(F31,'Pricing Params'!$B:$H,7,FALSE)-0.5%,P31-R31)),IF(G31="P",MIN(VLOOKUP(F31,'Pricing Params'!$B:$H,7,FALSE)-0.5%,P31-R31),MAX(P31-R31,VLOOKUP(F31,'Pricing Params'!$B:$H,7,FALSE)))))</f>
        <v>5.6621660077240538E-2</v>
      </c>
      <c r="P31" s="144">
        <f t="shared" si="29"/>
        <v>6.5000000000000002E-2</v>
      </c>
      <c r="Q31" s="141" t="s">
        <v>199</v>
      </c>
      <c r="R31" s="144">
        <f>SUMIF(MarketData!$I$26:$I$1204,"&lt;"&amp;F31,MarketData!$J$26:$J$1204)/D31*365/(F31-B31)*(IF(G31="P",IF(U$26="O",'Pricing Params'!$M$2,1),IF(U$26="O",1,IF(U$26="OLD",1,'Pricing Params'!$M$2))))</f>
        <v>8.3783399227594611E-3</v>
      </c>
      <c r="S31" s="145">
        <f t="shared" si="18"/>
        <v>72139.376792074923</v>
      </c>
      <c r="T31" s="143">
        <f>VLOOKUP(F31,'Pricing Params'!B:C,2,0)</f>
        <v>0</v>
      </c>
      <c r="U31" s="145" t="s">
        <v>47</v>
      </c>
      <c r="V31" s="146">
        <f t="shared" ca="1" si="19"/>
        <v>0.17327256453960749</v>
      </c>
      <c r="W31" s="147">
        <f t="shared" ca="1" si="30"/>
        <v>1.8982242181664333E-5</v>
      </c>
      <c r="X31" s="148">
        <f t="shared" ca="1" si="31"/>
        <v>3.3996271463201992</v>
      </c>
      <c r="Y31" s="148">
        <f t="shared" ca="1" si="32"/>
        <v>-1426.3723274837248</v>
      </c>
      <c r="Z31" s="149">
        <f t="shared" ca="1" si="20"/>
        <v>-127845282.24525288</v>
      </c>
      <c r="AA31" s="149">
        <f t="shared" ca="1" si="21"/>
        <v>-357092777.20297503</v>
      </c>
      <c r="AB31" s="150">
        <f t="shared" ca="1" si="22"/>
        <v>0.24315633257850885</v>
      </c>
      <c r="AC31" s="149">
        <f t="shared" ca="1" si="23"/>
        <v>43548.115186942727</v>
      </c>
      <c r="AD31" s="149">
        <f t="shared" ca="1" si="24"/>
        <v>-18271364.400641352</v>
      </c>
      <c r="AE31" s="151">
        <f>IF(F31&gt;MarketData!$B$26,INDEX(MarketData!$B$26:$B$64,MATCH(F31,MarketData!$B$26:$B$64)),MarketData!$B$26)</f>
        <v>46021</v>
      </c>
      <c r="AF31" s="151">
        <f>IF(AE31&gt;MarketData!$B$26,INDEX(MarketData!$B$26:$B$64,MATCH(AE31,MarketData!$B$26:$B$64)+1),MarketData!$B$26)</f>
        <v>0</v>
      </c>
      <c r="AG31" s="169">
        <f>VLOOKUP(AE31,MarketData!$B$26:$D$43,3,0)/100</f>
        <v>6.5000000000000002E-2</v>
      </c>
      <c r="AH31" s="146">
        <f>IF(AF31=0,AG31,VLOOKUP(AF31,MarketData!$B$26:$D$43,3,0)/100)</f>
        <v>6.5000000000000002E-2</v>
      </c>
    </row>
    <row r="32" spans="2:34">
      <c r="B32" s="20">
        <f>'Summary Sheet'!$C$2</f>
        <v>46238</v>
      </c>
      <c r="C32" s="10">
        <v>-0.2</v>
      </c>
      <c r="D32" s="138">
        <f t="shared" si="13"/>
        <v>61439.200000000004</v>
      </c>
      <c r="E32" s="138">
        <f t="shared" si="25"/>
        <v>76800</v>
      </c>
      <c r="F32" s="20">
        <f t="shared" si="26"/>
        <v>47689</v>
      </c>
      <c r="G32" s="4" t="s">
        <v>29</v>
      </c>
      <c r="H32" s="139">
        <f t="shared" ca="1" si="14"/>
        <v>8205.6433763982423</v>
      </c>
      <c r="I32" s="127">
        <f t="shared" ca="1" si="15"/>
        <v>-0.41242011356007424</v>
      </c>
      <c r="J32" s="127">
        <f t="shared" ca="1" si="27"/>
        <v>464.97820902876629</v>
      </c>
      <c r="K32" s="142">
        <f ca="1">'Summary Sheet'!$H$15*10000000/$J$36</f>
        <v>12809.6739179412</v>
      </c>
      <c r="L32" s="139">
        <f t="shared" ca="1" si="28"/>
        <v>5956219.2366067991</v>
      </c>
      <c r="M32" s="139">
        <f t="shared" ca="1" si="16"/>
        <v>-5282.967171904831</v>
      </c>
      <c r="N32" s="171">
        <f t="shared" ca="1" si="17"/>
        <v>0.17700808452114217</v>
      </c>
      <c r="O32" s="143">
        <f>IF(U32="OLD",P32-R32,IF(U32="B",IF(G32="P",MAX(P32-R32,VLOOKUP(F32,'Pricing Params'!$B:$H,7,FALSE)),MIN(VLOOKUP(F32,'Pricing Params'!$B:$H,7,FALSE)-0.5%,P32-R32)),IF(G32="P",MIN(VLOOKUP(F32,'Pricing Params'!$B:$H,7,FALSE)-0.5%,P32-R32),MAX(P32-R32,VLOOKUP(F32,'Pricing Params'!$B:$H,7,FALSE)))))</f>
        <v>5.7145306322413006E-2</v>
      </c>
      <c r="P32" s="144">
        <f t="shared" si="29"/>
        <v>6.5000000000000002E-2</v>
      </c>
      <c r="Q32" s="141" t="s">
        <v>199</v>
      </c>
      <c r="R32" s="144">
        <f>SUMIF(MarketData!$I$26:$I$1204,"&lt;"&amp;F32,MarketData!$J$26:$J$1204)/D32*365/(F32-B32)*(IF(G32="P",IF(U$26="O",'Pricing Params'!$M$2,1),IF(U$26="O",1,IF(U$26="OLD",1,'Pricing Params'!$M$2))))</f>
        <v>7.8546936775869929E-3</v>
      </c>
      <c r="S32" s="145">
        <f t="shared" si="18"/>
        <v>77109.017394950919</v>
      </c>
      <c r="T32" s="143">
        <f>VLOOKUP(F32,'Pricing Params'!B:C,2,0)</f>
        <v>0</v>
      </c>
      <c r="U32" s="145" t="s">
        <v>47</v>
      </c>
      <c r="V32" s="146">
        <f t="shared" ca="1" si="19"/>
        <v>0.13355713252122817</v>
      </c>
      <c r="W32" s="147">
        <f t="shared" ca="1" si="30"/>
        <v>1.7521109839435667E-5</v>
      </c>
      <c r="X32" s="148">
        <f t="shared" ca="1" si="31"/>
        <v>2.5902366603786504</v>
      </c>
      <c r="Y32" s="148">
        <f t="shared" ca="1" si="32"/>
        <v>-1256.1895435584238</v>
      </c>
      <c r="Z32" s="149">
        <f t="shared" ca="1" si="20"/>
        <v>-105111615.93857552</v>
      </c>
      <c r="AA32" s="149">
        <f t="shared" ca="1" si="21"/>
        <v>-324581276.66809529</v>
      </c>
      <c r="AB32" s="150">
        <f t="shared" ca="1" si="22"/>
        <v>0.22443970372360197</v>
      </c>
      <c r="AC32" s="149">
        <f t="shared" ca="1" si="23"/>
        <v>33180.086989747513</v>
      </c>
      <c r="AD32" s="149">
        <f t="shared" ca="1" si="24"/>
        <v>-16091378.432110801</v>
      </c>
      <c r="AE32" s="151">
        <f>IF(F32&gt;MarketData!$B$26,INDEX(MarketData!$B$26:$B$64,MATCH(F32,MarketData!$B$26:$B$64)),MarketData!$B$26)</f>
        <v>46021</v>
      </c>
      <c r="AF32" s="151">
        <f>IF(AE32&gt;MarketData!$B$26,INDEX(MarketData!$B$26:$B$64,MATCH(AE32,MarketData!$B$26:$B$64)+1),MarketData!$B$26)</f>
        <v>0</v>
      </c>
      <c r="AG32" s="169">
        <f>VLOOKUP(AE32,MarketData!$B$26:$D$43,3,0)/100</f>
        <v>6.5000000000000002E-2</v>
      </c>
      <c r="AH32" s="146">
        <f>IF(AF32=0,AG32,VLOOKUP(AF32,MarketData!$B$26:$D$43,3,0)/100)</f>
        <v>6.5000000000000002E-2</v>
      </c>
    </row>
    <row r="33" spans="2:34">
      <c r="B33" s="20">
        <f>'Summary Sheet'!$C$2</f>
        <v>46238</v>
      </c>
      <c r="C33" s="10">
        <v>-0.15</v>
      </c>
      <c r="D33" s="138">
        <f t="shared" si="13"/>
        <v>65279.15</v>
      </c>
      <c r="E33" s="138">
        <f t="shared" si="25"/>
        <v>76800</v>
      </c>
      <c r="F33" s="20">
        <f t="shared" si="26"/>
        <v>47689</v>
      </c>
      <c r="G33" s="4" t="s">
        <v>29</v>
      </c>
      <c r="H33" s="139">
        <f t="shared" ca="1" si="14"/>
        <v>6705.1600950953025</v>
      </c>
      <c r="I33" s="127">
        <f t="shared" ca="1" si="15"/>
        <v>-0.34726492477784632</v>
      </c>
      <c r="J33" s="127">
        <f t="shared" ca="1" si="27"/>
        <v>471.76975642488287</v>
      </c>
      <c r="K33" s="142">
        <f ca="1">'Summary Sheet'!$H$15*10000000/$J$36</f>
        <v>12809.6739179412</v>
      </c>
      <c r="L33" s="139">
        <f t="shared" ca="1" si="28"/>
        <v>6043216.7441492947</v>
      </c>
      <c r="M33" s="139">
        <f t="shared" ca="1" si="16"/>
        <v>-4448.3504495425905</v>
      </c>
      <c r="N33" s="171">
        <f t="shared" ca="1" si="17"/>
        <v>0.17700808452114217</v>
      </c>
      <c r="O33" s="143">
        <f>IF(U33="OLD",P33-R33,IF(U33="B",IF(G33="P",MAX(P33-R33,VLOOKUP(F33,'Pricing Params'!$B:$H,7,FALSE)),MIN(VLOOKUP(F33,'Pricing Params'!$B:$H,7,FALSE)-0.5%,P33-R33)),IF(G33="P",MIN(VLOOKUP(F33,'Pricing Params'!$B:$H,7,FALSE)-0.5%,P33-R33),MAX(P33-R33,VLOOKUP(F33,'Pricing Params'!$B:$H,7,FALSE)))))</f>
        <v>5.7607347126976946E-2</v>
      </c>
      <c r="P33" s="144">
        <f t="shared" si="29"/>
        <v>6.5000000000000002E-2</v>
      </c>
      <c r="Q33" s="141" t="s">
        <v>199</v>
      </c>
      <c r="R33" s="144">
        <f>SUMIF(MarketData!$I$26:$I$1204,"&lt;"&amp;F33,MarketData!$J$26:$J$1204)/D33*365/(F33-B33)*(IF(G33="P",IF(U$26="O",'Pricing Params'!$M$2,1),IF(U$26="O",1,IF(U$26="OLD",1,'Pricing Params'!$M$2))))</f>
        <v>7.3926528730230527E-3</v>
      </c>
      <c r="S33" s="145">
        <f t="shared" si="18"/>
        <v>82078.952804477012</v>
      </c>
      <c r="T33" s="143">
        <f>VLOOKUP(F33,'Pricing Params'!B:C,2,0)</f>
        <v>0</v>
      </c>
      <c r="U33" s="145" t="s">
        <v>47</v>
      </c>
      <c r="V33" s="146">
        <f t="shared" ca="1" si="19"/>
        <v>0.10271518693327505</v>
      </c>
      <c r="W33" s="147">
        <f t="shared" ca="1" si="30"/>
        <v>1.5732251995359547E-5</v>
      </c>
      <c r="X33" s="148">
        <f t="shared" ca="1" si="31"/>
        <v>1.8947620439575985</v>
      </c>
      <c r="Y33" s="148">
        <f t="shared" ca="1" si="32"/>
        <v>-1093.3105014088151</v>
      </c>
      <c r="Z33" s="149">
        <f t="shared" ca="1" si="20"/>
        <v>-85890914.385762438</v>
      </c>
      <c r="AA33" s="149">
        <f t="shared" ca="1" si="21"/>
        <v>-290384536.24825823</v>
      </c>
      <c r="AB33" s="150">
        <f t="shared" ca="1" si="22"/>
        <v>0.2015250180554356</v>
      </c>
      <c r="AC33" s="149">
        <f t="shared" ca="1" si="23"/>
        <v>24271.283935188607</v>
      </c>
      <c r="AD33" s="149">
        <f t="shared" ca="1" si="24"/>
        <v>-14004951.014107713</v>
      </c>
      <c r="AE33" s="151">
        <f>IF(F33&gt;MarketData!$B$26,INDEX(MarketData!$B$26:$B$64,MATCH(F33,MarketData!$B$26:$B$64)),MarketData!$B$26)</f>
        <v>46021</v>
      </c>
      <c r="AF33" s="151">
        <f>IF(AE33&gt;MarketData!$B$26,INDEX(MarketData!$B$26:$B$64,MATCH(AE33,MarketData!$B$26:$B$64)+1),MarketData!$B$26)</f>
        <v>0</v>
      </c>
      <c r="AG33" s="169">
        <f>VLOOKUP(AE33,MarketData!$B$26:$D$43,3,0)/100</f>
        <v>6.5000000000000002E-2</v>
      </c>
      <c r="AH33" s="146">
        <f>IF(AF33=0,AG33,VLOOKUP(AF33,MarketData!$B$26:$D$43,3,0)/100)</f>
        <v>6.5000000000000002E-2</v>
      </c>
    </row>
    <row r="34" spans="2:34">
      <c r="B34" s="20">
        <f>'Summary Sheet'!$C$2</f>
        <v>46238</v>
      </c>
      <c r="C34" s="10">
        <v>-0.1</v>
      </c>
      <c r="D34" s="138">
        <f t="shared" si="13"/>
        <v>69119.100000000006</v>
      </c>
      <c r="E34" s="138">
        <f t="shared" si="25"/>
        <v>76800</v>
      </c>
      <c r="F34" s="20">
        <f t="shared" si="26"/>
        <v>47689</v>
      </c>
      <c r="G34" s="4" t="s">
        <v>29</v>
      </c>
      <c r="H34" s="139">
        <f t="shared" ca="1" si="14"/>
        <v>5450.2757888864426</v>
      </c>
      <c r="I34" s="127">
        <f t="shared" ca="1" si="15"/>
        <v>-0.2894231414911701</v>
      </c>
      <c r="J34" s="127">
        <f t="shared" ca="1" si="27"/>
        <v>465.47324732560446</v>
      </c>
      <c r="K34" s="142">
        <f ca="1">'Summary Sheet'!$H$15*10000000/$J$36</f>
        <v>12809.6739179412</v>
      </c>
      <c r="L34" s="139">
        <f t="shared" ca="1" si="28"/>
        <v>5962560.5157661885</v>
      </c>
      <c r="M34" s="139">
        <f t="shared" ca="1" si="16"/>
        <v>-3707.4160668080472</v>
      </c>
      <c r="N34" s="171">
        <f t="shared" ca="1" si="17"/>
        <v>0.17700808452114217</v>
      </c>
      <c r="O34" s="143">
        <f>IF(U34="OLD",P34-R34,IF(U34="B",IF(G34="P",MAX(P34-R34,VLOOKUP(F34,'Pricing Params'!$B:$H,7,FALSE)),MIN(VLOOKUP(F34,'Pricing Params'!$B:$H,7,FALSE)-0.5%,P34-R34)),IF(G34="P",MIN(VLOOKUP(F34,'Pricing Params'!$B:$H,7,FALSE)-0.5%,P34-R34),MAX(P34-R34,VLOOKUP(F34,'Pricing Params'!$B:$H,7,FALSE)))))</f>
        <v>5.8018050064367117E-2</v>
      </c>
      <c r="P34" s="144">
        <f t="shared" si="29"/>
        <v>6.5000000000000002E-2</v>
      </c>
      <c r="Q34" s="141" t="s">
        <v>199</v>
      </c>
      <c r="R34" s="144">
        <f>SUMIF(MarketData!$I$26:$I$1204,"&lt;"&amp;F34,MarketData!$J$26:$J$1204)/D34*365/(F34-B34)*(IF(G34="P",IF(U$26="O",'Pricing Params'!$M$2,1),IF(U$26="O",1,IF(U$26="OLD",1,'Pricing Params'!$M$2))))</f>
        <v>6.9819499356328831E-3</v>
      </c>
      <c r="S34" s="145">
        <f t="shared" si="18"/>
        <v>87049.134341201279</v>
      </c>
      <c r="T34" s="143">
        <f>VLOOKUP(F34,'Pricing Params'!B:C,2,0)</f>
        <v>0</v>
      </c>
      <c r="U34" s="145" t="s">
        <v>47</v>
      </c>
      <c r="V34" s="146">
        <f t="shared" ca="1" si="19"/>
        <v>7.8853396367812106E-2</v>
      </c>
      <c r="W34" s="147">
        <f t="shared" ca="1" si="30"/>
        <v>1.3812021279591136E-5</v>
      </c>
      <c r="X34" s="148">
        <f t="shared" ca="1" si="31"/>
        <v>1.3183195976980642</v>
      </c>
      <c r="Y34" s="148">
        <f t="shared" ca="1" si="32"/>
        <v>-941.68287754351422</v>
      </c>
      <c r="Z34" s="149">
        <f t="shared" ca="1" si="20"/>
        <v>-69816255.618485063</v>
      </c>
      <c r="AA34" s="149">
        <f t="shared" ca="1" si="21"/>
        <v>-256253261.86331213</v>
      </c>
      <c r="AB34" s="150">
        <f t="shared" ca="1" si="22"/>
        <v>0.1769274887392274</v>
      </c>
      <c r="AC34" s="149">
        <f t="shared" ca="1" si="23"/>
        <v>16887.244166143628</v>
      </c>
      <c r="AD34" s="149">
        <f t="shared" ca="1" si="24"/>
        <v>-12062650.595440971</v>
      </c>
      <c r="AE34" s="151">
        <f>IF(F34&gt;MarketData!$B$26,INDEX(MarketData!$B$26:$B$64,MATCH(F34,MarketData!$B$26:$B$64)),MarketData!$B$26)</f>
        <v>46021</v>
      </c>
      <c r="AF34" s="151">
        <f>IF(AE34&gt;MarketData!$B$26,INDEX(MarketData!$B$26:$B$64,MATCH(AE34,MarketData!$B$26:$B$64)+1),MarketData!$B$26)</f>
        <v>0</v>
      </c>
      <c r="AG34" s="169">
        <f>VLOOKUP(AE34,MarketData!$B$26:$D$43,3,0)/100</f>
        <v>6.5000000000000002E-2</v>
      </c>
      <c r="AH34" s="146">
        <f>IF(AF34=0,AG34,VLOOKUP(AF34,MarketData!$B$26:$D$43,3,0)/100)</f>
        <v>6.5000000000000002E-2</v>
      </c>
    </row>
    <row r="35" spans="2:34">
      <c r="B35" s="20">
        <f>'Summary Sheet'!$C$2</f>
        <v>46238</v>
      </c>
      <c r="C35" s="10">
        <v>-0.05</v>
      </c>
      <c r="D35" s="138">
        <f t="shared" si="13"/>
        <v>72959.05</v>
      </c>
      <c r="E35" s="138">
        <f t="shared" si="25"/>
        <v>76800</v>
      </c>
      <c r="F35" s="20">
        <f t="shared" si="26"/>
        <v>47689</v>
      </c>
      <c r="G35" s="4" t="s">
        <v>29</v>
      </c>
      <c r="H35" s="139">
        <f t="shared" ca="1" si="14"/>
        <v>4410.5080630325865</v>
      </c>
      <c r="I35" s="127">
        <f t="shared" ca="1" si="15"/>
        <v>-0.23912137700881431</v>
      </c>
      <c r="J35" s="127">
        <f t="shared" ca="1" si="27"/>
        <v>448.65229280896256</v>
      </c>
      <c r="K35" s="142">
        <f ca="1">'Summary Sheet'!$H$15*10000000/$J$36</f>
        <v>12809.6739179412</v>
      </c>
      <c r="L35" s="139">
        <f t="shared" ca="1" si="28"/>
        <v>5747089.5734194862</v>
      </c>
      <c r="M35" s="139">
        <f t="shared" ca="1" si="16"/>
        <v>-3063.0668662919929</v>
      </c>
      <c r="N35" s="171">
        <f t="shared" ca="1" si="17"/>
        <v>0.17700808452114217</v>
      </c>
      <c r="O35" s="143">
        <f>IF(U35="OLD",P35-R35,IF(U35="B",IF(G35="P",MAX(P35-R35,VLOOKUP(F35,'Pricing Params'!$B:$H,7,FALSE)),MIN(VLOOKUP(F35,'Pricing Params'!$B:$H,7,FALSE)-0.5%,P35-R35)),IF(G35="P",MIN(VLOOKUP(F35,'Pricing Params'!$B:$H,7,FALSE)-0.5%,P35-R35),MAX(P35-R35,VLOOKUP(F35,'Pricing Params'!$B:$H,7,FALSE)))))</f>
        <v>5.8385521113610957E-2</v>
      </c>
      <c r="P35" s="144">
        <f t="shared" si="29"/>
        <v>6.5000000000000002E-2</v>
      </c>
      <c r="Q35" s="141" t="s">
        <v>199</v>
      </c>
      <c r="R35" s="144">
        <f>SUMIF(MarketData!$I$26:$I$1204,"&lt;"&amp;F35,MarketData!$J$26:$J$1204)/D35*365/(F35-B35)*(IF(G35="P",IF(U$26="O",'Pricing Params'!$M$2,1),IF(U$26="O",1,IF(U$26="OLD",1,'Pricing Params'!$M$2))))</f>
        <v>6.6144788863890481E-3</v>
      </c>
      <c r="S35" s="145">
        <f t="shared" si="18"/>
        <v>92019.523483828656</v>
      </c>
      <c r="T35" s="143">
        <f>VLOOKUP(F35,'Pricing Params'!B:C,2,0)</f>
        <v>0</v>
      </c>
      <c r="U35" s="145" t="s">
        <v>47</v>
      </c>
      <c r="V35" s="146">
        <f t="shared" ca="1" si="19"/>
        <v>6.0451829663798889E-2</v>
      </c>
      <c r="W35" s="147">
        <f t="shared" ca="1" si="30"/>
        <v>1.1904834536835551E-5</v>
      </c>
      <c r="X35" s="148">
        <f t="shared" ca="1" si="31"/>
        <v>0.85615750998749718</v>
      </c>
      <c r="Y35" s="148">
        <f t="shared" ca="1" si="32"/>
        <v>-803.72198095697649</v>
      </c>
      <c r="Z35" s="149">
        <f t="shared" ca="1" si="20"/>
        <v>-56497170.099897884</v>
      </c>
      <c r="AA35" s="149">
        <f t="shared" ca="1" si="21"/>
        <v>-223478448.65114084</v>
      </c>
      <c r="AB35" s="150">
        <f t="shared" ca="1" si="22"/>
        <v>0.15249704846390796</v>
      </c>
      <c r="AC35" s="149">
        <f t="shared" ca="1" si="23"/>
        <v>10967.098525336325</v>
      </c>
      <c r="AD35" s="149">
        <f t="shared" ca="1" si="24"/>
        <v>-10295416.496740615</v>
      </c>
      <c r="AE35" s="151">
        <f>IF(F35&gt;MarketData!$B$26,INDEX(MarketData!$B$26:$B$64,MATCH(F35,MarketData!$B$26:$B$64)),MarketData!$B$26)</f>
        <v>46021</v>
      </c>
      <c r="AF35" s="151">
        <f>IF(AE35&gt;MarketData!$B$26,INDEX(MarketData!$B$26:$B$64,MATCH(AE35,MarketData!$B$26:$B$64)+1),MarketData!$B$26)</f>
        <v>0</v>
      </c>
      <c r="AG35" s="169">
        <f>VLOOKUP(AE35,MarketData!$B$26:$D$43,3,0)/100</f>
        <v>6.5000000000000002E-2</v>
      </c>
      <c r="AH35" s="146">
        <f>IF(AF35=0,AG35,VLOOKUP(AF35,MarketData!$B$26:$D$43,3,0)/100)</f>
        <v>6.5000000000000002E-2</v>
      </c>
    </row>
    <row r="36" spans="2:34">
      <c r="B36" s="152">
        <f>'Summary Sheet'!$C$2</f>
        <v>46238</v>
      </c>
      <c r="C36" s="153">
        <v>0</v>
      </c>
      <c r="D36" s="154">
        <f t="shared" si="13"/>
        <v>76799</v>
      </c>
      <c r="E36" s="154">
        <f t="shared" si="25"/>
        <v>76800</v>
      </c>
      <c r="F36" s="152">
        <f t="shared" si="26"/>
        <v>47689</v>
      </c>
      <c r="G36" s="155" t="s">
        <v>29</v>
      </c>
      <c r="H36" s="156">
        <f t="shared" ca="1" si="14"/>
        <v>3555.7598610375485</v>
      </c>
      <c r="I36" s="157">
        <f t="shared" ca="1" si="15"/>
        <v>-0.19610906602110845</v>
      </c>
      <c r="J36" s="157">
        <f t="shared" ca="1" si="27"/>
        <v>424.01531292583104</v>
      </c>
      <c r="K36" s="158">
        <f ca="1">'Summary Sheet'!$H$15*10000000/$J$36</f>
        <v>12809.6739179412</v>
      </c>
      <c r="L36" s="156">
        <f t="shared" ca="1" si="28"/>
        <v>5431497.8947936939</v>
      </c>
      <c r="M36" s="156">
        <f t="shared" ca="1" si="16"/>
        <v>-2512.0931880824019</v>
      </c>
      <c r="N36" s="172">
        <f t="shared" ca="1" si="17"/>
        <v>0.17700808452114217</v>
      </c>
      <c r="O36" s="159">
        <f>IF(U36="OLD",P36-R36,IF(U36="B",IF(G36="P",MAX(P36-R36,VLOOKUP(F36,'Pricing Params'!$B:$H,7,FALSE)),MIN(VLOOKUP(F36,'Pricing Params'!$B:$H,7,FALSE)-0.5%,P36-R36)),IF(G36="P",MIN(VLOOKUP(F36,'Pricing Params'!$B:$H,7,FALSE)-0.5%,P36-R36),MAX(P36-R36,VLOOKUP(F36,'Pricing Params'!$B:$H,7,FALSE)))))</f>
        <v>5.8716245057930404E-2</v>
      </c>
      <c r="P36" s="160">
        <f t="shared" si="29"/>
        <v>6.5000000000000002E-2</v>
      </c>
      <c r="Q36" s="161" t="s">
        <v>199</v>
      </c>
      <c r="R36" s="160">
        <f>SUMIF(MarketData!$I$26:$I$1204,"&lt;"&amp;F36,MarketData!$J$26:$J$1204)/D36*365/(F36-B36)*(IF(G36="P",IF(U$26="O",'Pricing Params'!$M$2,1),IF(U$26="O",1,IF(U$26="OLD",1,'Pricing Params'!$M$2))))</f>
        <v>6.2837549420695958E-3</v>
      </c>
      <c r="S36" s="162">
        <f t="shared" si="18"/>
        <v>96990.089350957962</v>
      </c>
      <c r="T36" s="159">
        <f>VLOOKUP(F36,'Pricing Params'!B:C,2,0)</f>
        <v>0</v>
      </c>
      <c r="U36" s="162" t="s">
        <v>47</v>
      </c>
      <c r="V36" s="163">
        <f t="shared" ca="1" si="19"/>
        <v>4.629955938277254E-2</v>
      </c>
      <c r="W36" s="164">
        <f t="shared" ca="1" si="30"/>
        <v>1.010660344036296E-5</v>
      </c>
      <c r="X36" s="165">
        <f t="shared" ca="1" si="31"/>
        <v>0.49733784205955089</v>
      </c>
      <c r="Y36" s="165">
        <f t="shared" ca="1" si="32"/>
        <v>-680.55790647741105</v>
      </c>
      <c r="Z36" s="166">
        <f t="shared" ca="1" si="20"/>
        <v>-45548124.350394912</v>
      </c>
      <c r="AA36" s="166">
        <f t="shared" ca="1" si="21"/>
        <v>-192926244.75154036</v>
      </c>
      <c r="AB36" s="167">
        <f t="shared" ca="1" si="22"/>
        <v>0.12946229448899221</v>
      </c>
      <c r="AC36" s="166">
        <f t="shared" ca="1" si="23"/>
        <v>6370.7355838353888</v>
      </c>
      <c r="AD36" s="166">
        <f t="shared" ca="1" si="24"/>
        <v>-8717724.8642523587</v>
      </c>
      <c r="AE36" s="168">
        <f>IF(F36&gt;MarketData!$B$26,INDEX(MarketData!$B$26:$B$64,MATCH(F36,MarketData!$B$26:$B$64)),MarketData!$B$26)</f>
        <v>46021</v>
      </c>
      <c r="AF36" s="168">
        <f>IF(AE36&gt;MarketData!$B$26,INDEX(MarketData!$B$26:$B$64,MATCH(AE36,MarketData!$B$26:$B$64)+1),MarketData!$B$26)</f>
        <v>0</v>
      </c>
      <c r="AG36" s="170">
        <f>VLOOKUP(AE36,MarketData!$B$26:$D$43,3,0)/100</f>
        <v>6.5000000000000002E-2</v>
      </c>
      <c r="AH36" s="163">
        <f>IF(AF36=0,AG36,VLOOKUP(AF36,MarketData!$B$26:$D$43,3,0)/100)</f>
        <v>6.5000000000000002E-2</v>
      </c>
    </row>
    <row r="37" spans="2:34">
      <c r="B37" s="20">
        <f>'Summary Sheet'!$C$2</f>
        <v>46238</v>
      </c>
      <c r="C37" s="10">
        <v>0.05</v>
      </c>
      <c r="D37" s="138">
        <f t="shared" si="13"/>
        <v>80638.95</v>
      </c>
      <c r="E37" s="138">
        <f t="shared" si="25"/>
        <v>76800</v>
      </c>
      <c r="F37" s="20">
        <f t="shared" si="26"/>
        <v>47689</v>
      </c>
      <c r="G37" s="4" t="s">
        <v>29</v>
      </c>
      <c r="H37" s="139">
        <f t="shared" ca="1" si="14"/>
        <v>2857.7790954037778</v>
      </c>
      <c r="I37" s="127">
        <f t="shared" ca="1" si="15"/>
        <v>-0.15983725580326791</v>
      </c>
      <c r="J37" s="127">
        <f t="shared" ca="1" si="27"/>
        <v>394.11496480984215</v>
      </c>
      <c r="K37" s="142">
        <f ca="1">'Summary Sheet'!$H$15*10000000/$J$36</f>
        <v>12809.6739179412</v>
      </c>
      <c r="L37" s="139">
        <f t="shared" ca="1" si="28"/>
        <v>5048484.1853949483</v>
      </c>
      <c r="M37" s="139">
        <f t="shared" ca="1" si="16"/>
        <v>-2047.4631267784166</v>
      </c>
      <c r="N37" s="171">
        <f t="shared" ca="1" si="17"/>
        <v>0.17700808452114217</v>
      </c>
      <c r="O37" s="143">
        <f>IF(U37="OLD",P37-R37,IF(U37="B",IF(G37="P",MAX(P37-R37,VLOOKUP(F37,'Pricing Params'!$B:$H,7,FALSE)),MIN(VLOOKUP(F37,'Pricing Params'!$B:$H,7,FALSE)-0.5%,P37-R37)),IF(G37="P",MIN(VLOOKUP(F37,'Pricing Params'!$B:$H,7,FALSE)-0.5%,P37-R37),MAX(P37-R37,VLOOKUP(F37,'Pricing Params'!$B:$H,7,FALSE)))))</f>
        <v>5.9015471483743247E-2</v>
      </c>
      <c r="P37" s="144">
        <f t="shared" si="29"/>
        <v>6.5000000000000002E-2</v>
      </c>
      <c r="Q37" s="141" t="s">
        <v>199</v>
      </c>
      <c r="R37" s="144">
        <f>SUMIF(MarketData!$I$26:$I$1204,"&lt;"&amp;F37,MarketData!$J$26:$J$1204)/D37*365/(F37-B37)*(IF(G37="P",IF(U$26="O",'Pricing Params'!$M$2,1),IF(U$26="O",1,IF(U$26="OLD",1,'Pricing Params'!$M$2))))</f>
        <v>5.9845285162567572E-3</v>
      </c>
      <c r="S37" s="145">
        <f t="shared" si="18"/>
        <v>101960.80689656788</v>
      </c>
      <c r="T37" s="143">
        <f>VLOOKUP(F37,'Pricing Params'!B:C,2,0)</f>
        <v>0</v>
      </c>
      <c r="U37" s="145" t="s">
        <v>47</v>
      </c>
      <c r="V37" s="146">
        <f t="shared" ca="1" si="19"/>
        <v>3.5439190309444479E-2</v>
      </c>
      <c r="W37" s="147">
        <f t="shared" ca="1" si="30"/>
        <v>8.4732519098906778E-6</v>
      </c>
      <c r="X37" s="148">
        <f t="shared" ca="1" si="31"/>
        <v>0.22777466582101624</v>
      </c>
      <c r="Y37" s="148">
        <f t="shared" ca="1" si="32"/>
        <v>-572.33257761461937</v>
      </c>
      <c r="Z37" s="149">
        <f t="shared" ca="1" si="20"/>
        <v>-36607218.341631368</v>
      </c>
      <c r="AA37" s="149">
        <f t="shared" ca="1" si="21"/>
        <v>-165105276.70712838</v>
      </c>
      <c r="AB37" s="150">
        <f t="shared" ca="1" si="22"/>
        <v>0.10853959399027208</v>
      </c>
      <c r="AC37" s="149">
        <f t="shared" ca="1" si="23"/>
        <v>2917.7191959352444</v>
      </c>
      <c r="AD37" s="149">
        <f t="shared" ca="1" si="24"/>
        <v>-7331393.6918580467</v>
      </c>
      <c r="AE37" s="151">
        <f>IF(F37&gt;MarketData!$B$26,INDEX(MarketData!$B$26:$B$64,MATCH(F37,MarketData!$B$26:$B$64)),MarketData!$B$26)</f>
        <v>46021</v>
      </c>
      <c r="AF37" s="151">
        <f>IF(AE37&gt;MarketData!$B$26,INDEX(MarketData!$B$26:$B$64,MATCH(AE37,MarketData!$B$26:$B$64)+1),MarketData!$B$26)</f>
        <v>0</v>
      </c>
      <c r="AG37" s="169">
        <f>VLOOKUP(AE37,MarketData!$B$26:$D$43,3,0)/100</f>
        <v>6.5000000000000002E-2</v>
      </c>
      <c r="AH37" s="146">
        <f>IF(AF37=0,AG37,VLOOKUP(AF37,MarketData!$B$26:$D$43,3,0)/100)</f>
        <v>6.5000000000000002E-2</v>
      </c>
    </row>
    <row r="38" spans="2:34">
      <c r="B38" s="20">
        <f>'Summary Sheet'!$C$2</f>
        <v>46238</v>
      </c>
      <c r="C38" s="10">
        <v>0.1</v>
      </c>
      <c r="D38" s="138">
        <f t="shared" si="13"/>
        <v>84478.900000000009</v>
      </c>
      <c r="E38" s="138">
        <f t="shared" si="25"/>
        <v>76800</v>
      </c>
      <c r="F38" s="20">
        <f t="shared" si="26"/>
        <v>47689</v>
      </c>
      <c r="G38" s="4" t="s">
        <v>29</v>
      </c>
      <c r="H38" s="139">
        <f t="shared" ca="1" si="14"/>
        <v>2290.9951062026894</v>
      </c>
      <c r="I38" s="127">
        <f t="shared" ca="1" si="15"/>
        <v>-0.12959837505422911</v>
      </c>
      <c r="J38" s="127">
        <f t="shared" ca="1" si="27"/>
        <v>361.17483608205521</v>
      </c>
      <c r="K38" s="142">
        <f ca="1">'Summary Sheet'!$H$15*10000000/$J$36</f>
        <v>12809.6739179412</v>
      </c>
      <c r="L38" s="139">
        <f t="shared" ca="1" si="28"/>
        <v>4626531.877576991</v>
      </c>
      <c r="M38" s="139">
        <f t="shared" ca="1" si="16"/>
        <v>-1660.11292473972</v>
      </c>
      <c r="N38" s="171">
        <f t="shared" ca="1" si="17"/>
        <v>0.17700808452114217</v>
      </c>
      <c r="O38" s="143">
        <f>IF(U38="OLD",P38-R38,IF(U38="B",IF(G38="P",MAX(P38-R38,VLOOKUP(F38,'Pricing Params'!$B:$H,7,FALSE)),MIN(VLOOKUP(F38,'Pricing Params'!$B:$H,7,FALSE)-0.5%,P38-R38)),IF(G38="P",MIN(VLOOKUP(F38,'Pricing Params'!$B:$H,7,FALSE)-0.5%,P38-R38),MAX(P38-R38,VLOOKUP(F38,'Pricing Params'!$B:$H,7,FALSE)))))</f>
        <v>5.9287495507209464E-2</v>
      </c>
      <c r="P38" s="144">
        <f t="shared" si="29"/>
        <v>6.5000000000000002E-2</v>
      </c>
      <c r="Q38" s="141" t="s">
        <v>199</v>
      </c>
      <c r="R38" s="144">
        <f>SUMIF(MarketData!$I$26:$I$1204,"&lt;"&amp;F38,MarketData!$J$26:$J$1204)/D38*365/(F38-B38)*(IF(G38="P",IF(U$26="O",'Pricing Params'!$M$2,1),IF(U$26="O",1,IF(U$26="OLD",1,'Pricing Params'!$M$2))))</f>
        <v>5.7125044927905403E-3</v>
      </c>
      <c r="S38" s="145">
        <f t="shared" si="18"/>
        <v>106931.6555938876</v>
      </c>
      <c r="T38" s="143">
        <f>VLOOKUP(F38,'Pricing Params'!B:C,2,0)</f>
        <v>0</v>
      </c>
      <c r="U38" s="145" t="s">
        <v>47</v>
      </c>
      <c r="V38" s="146">
        <f t="shared" ca="1" si="19"/>
        <v>2.711913988229829E-2</v>
      </c>
      <c r="W38" s="147">
        <f t="shared" ca="1" si="30"/>
        <v>7.0306377892848104E-6</v>
      </c>
      <c r="X38" s="148">
        <f t="shared" ca="1" si="31"/>
        <v>3.2466950691741658E-2</v>
      </c>
      <c r="Y38" s="148">
        <f t="shared" ca="1" si="32"/>
        <v>-478.48818723967725</v>
      </c>
      <c r="Z38" s="149">
        <f t="shared" ca="1" si="20"/>
        <v>-29346900.258055519</v>
      </c>
      <c r="AA38" s="149">
        <f t="shared" ca="1" si="21"/>
        <v>-140244513.75779435</v>
      </c>
      <c r="AB38" s="150">
        <f t="shared" ca="1" si="22"/>
        <v>9.0060177515893416E-2</v>
      </c>
      <c r="AC38" s="149">
        <f t="shared" ca="1" si="23"/>
        <v>415.89105147108609</v>
      </c>
      <c r="AD38" s="149">
        <f t="shared" ca="1" si="24"/>
        <v>-6129277.6521270592</v>
      </c>
      <c r="AE38" s="151">
        <f>IF(F38&gt;MarketData!$B$26,INDEX(MarketData!$B$26:$B$64,MATCH(F38,MarketData!$B$26:$B$64)),MarketData!$B$26)</f>
        <v>46021</v>
      </c>
      <c r="AF38" s="151">
        <f>IF(AE38&gt;MarketData!$B$26,INDEX(MarketData!$B$26:$B$64,MATCH(AE38,MarketData!$B$26:$B$64)+1),MarketData!$B$26)</f>
        <v>0</v>
      </c>
      <c r="AG38" s="169">
        <f>VLOOKUP(AE38,MarketData!$B$26:$D$43,3,0)/100</f>
        <v>6.5000000000000002E-2</v>
      </c>
      <c r="AH38" s="146">
        <f>IF(AF38=0,AG38,VLOOKUP(AF38,MarketData!$B$26:$D$43,3,0)/100)</f>
        <v>6.5000000000000002E-2</v>
      </c>
    </row>
    <row r="39" spans="2:34">
      <c r="B39" s="20">
        <f>'Summary Sheet'!$C$2</f>
        <v>46238</v>
      </c>
      <c r="C39" s="10">
        <v>0.15</v>
      </c>
      <c r="D39" s="138">
        <f t="shared" si="13"/>
        <v>88318.849999999991</v>
      </c>
      <c r="E39" s="138">
        <f t="shared" si="25"/>
        <v>76800</v>
      </c>
      <c r="F39" s="20">
        <f t="shared" si="26"/>
        <v>47689</v>
      </c>
      <c r="G39" s="4" t="s">
        <v>29</v>
      </c>
      <c r="H39" s="139">
        <f t="shared" ca="1" si="14"/>
        <v>1832.8905857564334</v>
      </c>
      <c r="I39" s="127">
        <f t="shared" ca="1" si="15"/>
        <v>-0.10462691455518325</v>
      </c>
      <c r="J39" s="127">
        <f t="shared" ca="1" si="27"/>
        <v>327.01387752327105</v>
      </c>
      <c r="K39" s="142">
        <f ca="1">'Summary Sheet'!$H$15*10000000/$J$36</f>
        <v>12809.6739179412</v>
      </c>
      <c r="L39" s="139">
        <f ca="1">K39*J39</f>
        <v>4188941.1377146631</v>
      </c>
      <c r="M39" s="139">
        <f t="shared" ca="1" si="16"/>
        <v>-1340.2366584921933</v>
      </c>
      <c r="N39" s="171">
        <f t="shared" ca="1" si="17"/>
        <v>0.17700808452114217</v>
      </c>
      <c r="O39" s="143">
        <f>IF(U39="OLD",P39-R39,IF(U39="B",IF(G39="P",MAX(P39-R39,VLOOKUP(F39,'Pricing Params'!$B:$H,7,FALSE)),MIN(VLOOKUP(F39,'Pricing Params'!$B:$H,7,FALSE)-0.5%,P39-R39)),IF(G39="P",MIN(VLOOKUP(F39,'Pricing Params'!$B:$H,7,FALSE)-0.5%,P39-R39),MAX(P39-R39,VLOOKUP(F39,'Pricing Params'!$B:$H,7,FALSE)))))</f>
        <v>5.9535865267765574E-2</v>
      </c>
      <c r="P39" s="144">
        <f t="shared" si="29"/>
        <v>6.5000000000000002E-2</v>
      </c>
      <c r="Q39" s="141" t="s">
        <v>199</v>
      </c>
      <c r="R39" s="144">
        <f>SUMIF(MarketData!$I$26:$I$1204,"&lt;"&amp;F39,MarketData!$J$26:$J$1204)/D39*365/(F39-B39)*(IF(G39="P",IF(U$26="O",'Pricing Params'!$M$2,1),IF(U$26="O",1,IF(U$26="OLD",1,'Pricing Params'!$M$2))))</f>
        <v>5.4641347322344309E-3</v>
      </c>
      <c r="S39" s="145">
        <f t="shared" si="18"/>
        <v>111902.61846010061</v>
      </c>
      <c r="T39" s="143">
        <f>VLOOKUP(F39,'Pricing Params'!B:C,2,0)</f>
        <v>0</v>
      </c>
      <c r="U39" s="145" t="s">
        <v>47</v>
      </c>
      <c r="V39" s="146">
        <f t="shared" ca="1" si="19"/>
        <v>2.0753107470901554E-2</v>
      </c>
      <c r="W39" s="147">
        <f t="shared" ca="1" si="30"/>
        <v>5.7837769418256357E-6</v>
      </c>
      <c r="X39" s="148">
        <f t="shared" ca="1" si="31"/>
        <v>-0.10302694267147672</v>
      </c>
      <c r="Y39" s="148">
        <f t="shared" ca="1" si="32"/>
        <v>-398.01634315499723</v>
      </c>
      <c r="Z39" s="149">
        <f t="shared" ca="1" si="20"/>
        <v>-23478730.730804153</v>
      </c>
      <c r="AA39" s="149">
        <f t="shared" ca="1" si="21"/>
        <v>-118368160.40587324</v>
      </c>
      <c r="AB39" s="150">
        <f t="shared" ca="1" si="22"/>
        <v>7.4088296638893561E-2</v>
      </c>
      <c r="AC39" s="149">
        <f t="shared" ca="1" si="23"/>
        <v>-1319.7415403840384</v>
      </c>
      <c r="AD39" s="149">
        <f t="shared" ca="1" si="24"/>
        <v>-5098459.5698269028</v>
      </c>
      <c r="AE39" s="151">
        <f>IF(F39&gt;MarketData!$B$26,INDEX(MarketData!$B$26:$B$64,MATCH(F39,MarketData!$B$26:$B$64)),MarketData!$B$26)</f>
        <v>46021</v>
      </c>
      <c r="AF39" s="151">
        <f>IF(AE39&gt;MarketData!$B$26,INDEX(MarketData!$B$26:$B$64,MATCH(AE39,MarketData!$B$26:$B$64)+1),MarketData!$B$26)</f>
        <v>0</v>
      </c>
      <c r="AG39" s="169">
        <f>VLOOKUP(AE39,MarketData!$B$26:$D$43,3,0)/100</f>
        <v>6.5000000000000002E-2</v>
      </c>
      <c r="AH39" s="146">
        <f>IF(AF39=0,AG39,VLOOKUP(AF39,MarketData!$B$26:$D$43,3,0)/100)</f>
        <v>6.5000000000000002E-2</v>
      </c>
    </row>
    <row r="40" spans="2:34">
      <c r="B40" s="20">
        <f>'Summary Sheet'!$C$2</f>
        <v>46238</v>
      </c>
      <c r="C40" s="10">
        <v>0.2</v>
      </c>
      <c r="D40" s="138">
        <f t="shared" si="13"/>
        <v>92158.8</v>
      </c>
      <c r="E40" s="138">
        <f t="shared" si="25"/>
        <v>76800</v>
      </c>
      <c r="F40" s="20">
        <f t="shared" si="26"/>
        <v>47689</v>
      </c>
      <c r="G40" s="4" t="s">
        <v>29</v>
      </c>
      <c r="H40" s="139">
        <f t="shared" ca="1" si="14"/>
        <v>1464.0536500757937</v>
      </c>
      <c r="I40" s="127">
        <f t="shared" ca="1" si="15"/>
        <v>-8.4166489242079479E-2</v>
      </c>
      <c r="J40" s="127">
        <f t="shared" ca="1" si="27"/>
        <v>293.03779003080763</v>
      </c>
      <c r="K40" s="142">
        <f ca="1">'Summary Sheet'!$H$15*10000000/$J$36</f>
        <v>12809.6739179412</v>
      </c>
      <c r="L40" s="139">
        <f ca="1">K40*J40</f>
        <v>3753718.5359287662</v>
      </c>
      <c r="M40" s="139">
        <f t="shared" ca="1" si="16"/>
        <v>-1078.1452820089442</v>
      </c>
      <c r="N40" s="171">
        <f t="shared" ca="1" si="17"/>
        <v>0.17700808452114217</v>
      </c>
      <c r="O40" s="143">
        <f>IF(U40="OLD",P40-R40,IF(U40="B",IF(G40="P",MAX(P40-R40,VLOOKUP(F40,'Pricing Params'!$B:$H,7,FALSE)),MIN(VLOOKUP(F40,'Pricing Params'!$B:$H,7,FALSE)-0.5%,P40-R40)),IF(G40="P",MIN(VLOOKUP(F40,'Pricing Params'!$B:$H,7,FALSE)-0.5%,P40-R40),MAX(P40-R40,VLOOKUP(F40,'Pricing Params'!$B:$H,7,FALSE)))))</f>
        <v>5.976353754827534E-2</v>
      </c>
      <c r="P40" s="144">
        <f t="shared" si="29"/>
        <v>6.5000000000000002E-2</v>
      </c>
      <c r="Q40" s="141" t="s">
        <v>199</v>
      </c>
      <c r="R40" s="144">
        <f>SUMIF(MarketData!$I$26:$I$1204,"&lt;"&amp;F40,MarketData!$J$26:$J$1204)/D40*365/(F40-B40)*(IF(G40="P",IF(U$26="O",'Pricing Params'!$M$2,1),IF(U$26="O",1,IF(U$26="OLD",1,'Pricing Params'!$M$2))))</f>
        <v>5.2364624517246628E-3</v>
      </c>
      <c r="S40" s="145">
        <f t="shared" si="18"/>
        <v>116873.68132316892</v>
      </c>
      <c r="T40" s="143">
        <f>VLOOKUP(F40,'Pricing Params'!B:C,2,0)</f>
        <v>0</v>
      </c>
      <c r="U40" s="145" t="s">
        <v>47</v>
      </c>
      <c r="V40" s="146">
        <f t="shared" ca="1" si="19"/>
        <v>1.588620565888221E-2</v>
      </c>
      <c r="W40" s="147">
        <f t="shared" ca="1" si="30"/>
        <v>4.7243543122021947E-6</v>
      </c>
      <c r="X40" s="148">
        <f t="shared" ca="1" si="31"/>
        <v>-0.19173286854675098</v>
      </c>
      <c r="Y40" s="148">
        <f t="shared" ca="1" si="32"/>
        <v>-329.65643770682573</v>
      </c>
      <c r="Z40" s="149">
        <f t="shared" ca="1" si="20"/>
        <v>-18754049.855842508</v>
      </c>
      <c r="AA40" s="149">
        <f t="shared" ca="1" si="21"/>
        <v>-99360575.415605873</v>
      </c>
      <c r="AB40" s="150">
        <f t="shared" ca="1" si="22"/>
        <v>6.0517438212129487E-2</v>
      </c>
      <c r="AC40" s="149">
        <f t="shared" ca="1" si="23"/>
        <v>-2456.0355254353644</v>
      </c>
      <c r="AD40" s="149">
        <f t="shared" ca="1" si="24"/>
        <v>-4222791.4719745331</v>
      </c>
      <c r="AE40" s="151">
        <f>IF(F40&gt;MarketData!$B$26,INDEX(MarketData!$B$26:$B$64,MATCH(F40,MarketData!$B$26:$B$64)),MarketData!$B$26)</f>
        <v>46021</v>
      </c>
      <c r="AF40" s="151">
        <f>IF(AE40&gt;MarketData!$B$26,INDEX(MarketData!$B$26:$B$64,MATCH(AE40,MarketData!$B$26:$B$64)+1),MarketData!$B$26)</f>
        <v>0</v>
      </c>
      <c r="AG40" s="169">
        <f>VLOOKUP(AE40,MarketData!$B$26:$D$43,3,0)/100</f>
        <v>6.5000000000000002E-2</v>
      </c>
      <c r="AH40" s="146">
        <f>IF(AF40=0,AG40,VLOOKUP(AF40,MarketData!$B$26:$D$43,3,0)/100)</f>
        <v>6.5000000000000002E-2</v>
      </c>
    </row>
    <row r="41" spans="2:34">
      <c r="B41" s="138"/>
      <c r="C41" s="10"/>
    </row>
    <row r="42" spans="2:34">
      <c r="B42" s="136" t="s">
        <v>170</v>
      </c>
    </row>
    <row r="43" spans="2:34">
      <c r="B43" s="4" t="s">
        <v>6</v>
      </c>
      <c r="C43" s="4" t="s">
        <v>211</v>
      </c>
      <c r="D43" s="4" t="s">
        <v>1</v>
      </c>
      <c r="E43" s="4" t="s">
        <v>4</v>
      </c>
      <c r="F43" s="4" t="s">
        <v>5</v>
      </c>
      <c r="G43" s="4" t="s">
        <v>13</v>
      </c>
      <c r="H43" s="4" t="s">
        <v>12</v>
      </c>
      <c r="I43" s="4" t="s">
        <v>8</v>
      </c>
      <c r="J43" s="4" t="s">
        <v>9</v>
      </c>
      <c r="K43" s="4" t="s">
        <v>22</v>
      </c>
      <c r="L43" s="4" t="s">
        <v>27</v>
      </c>
      <c r="M43" s="4" t="s">
        <v>23</v>
      </c>
      <c r="N43" s="141" t="s">
        <v>3</v>
      </c>
      <c r="O43" s="141" t="s">
        <v>2</v>
      </c>
      <c r="P43" s="141" t="s">
        <v>30</v>
      </c>
      <c r="Q43" s="141" t="s">
        <v>0</v>
      </c>
      <c r="R43" s="141" t="s">
        <v>20</v>
      </c>
      <c r="S43" s="141" t="s">
        <v>7</v>
      </c>
      <c r="T43" s="141" t="s">
        <v>39</v>
      </c>
      <c r="U43" s="141" t="s">
        <v>45</v>
      </c>
      <c r="V43" s="141" t="s">
        <v>14</v>
      </c>
      <c r="W43" s="141" t="s">
        <v>31</v>
      </c>
      <c r="X43" s="141" t="s">
        <v>11</v>
      </c>
      <c r="Y43" s="141" t="s">
        <v>10</v>
      </c>
      <c r="Z43" s="141" t="s">
        <v>24</v>
      </c>
      <c r="AA43" s="141" t="s">
        <v>25</v>
      </c>
      <c r="AB43" s="141" t="s">
        <v>32</v>
      </c>
      <c r="AC43" s="141" t="s">
        <v>26</v>
      </c>
      <c r="AD43" s="141" t="s">
        <v>28</v>
      </c>
      <c r="AE43" s="141" t="s">
        <v>33</v>
      </c>
      <c r="AF43" s="141" t="s">
        <v>34</v>
      </c>
      <c r="AG43" s="141" t="s">
        <v>35</v>
      </c>
      <c r="AH43" s="141" t="s">
        <v>36</v>
      </c>
    </row>
    <row r="44" spans="2:34">
      <c r="B44" s="20">
        <f>'Summary Sheet'!$C$2</f>
        <v>46238</v>
      </c>
      <c r="C44" s="10">
        <v>-0.5</v>
      </c>
      <c r="D44" s="138">
        <f t="shared" ref="D44:D58" si="33">$C$2*(1+C44)</f>
        <v>38399.5</v>
      </c>
      <c r="E44" s="138">
        <f t="shared" ref="E44:E58" si="34">$C$3</f>
        <v>76800</v>
      </c>
      <c r="F44" s="20">
        <f t="shared" ref="F44:F58" si="35">$C$4</f>
        <v>47689</v>
      </c>
      <c r="G44" s="4" t="s">
        <v>29</v>
      </c>
      <c r="H44" s="139">
        <f t="shared" ref="H44:H58" si="36">IF(G$26="C",D44*EXP(O44*(F44-B44)/365)*NORMDIST((LN(D44*EXP(O44*(F44-B44)/365)/E44)+0.5*N44*N44*(F44-B44)/365)/N44/SQRT((F44-B44)/365),0,1,TRUE)-E44*NORMDIST((LN(D44*EXP(O44*(F44-B44)/365)/E44)-0.5*N44*N44*(F44-B44)/365)/N44/SQRT((F44-B44)/365),0,1,TRUE),IF(G$26="P",-1*D44*EXP(O44*(F44-B44)/365)*NORMDIST((-1*LN(D44*EXP(O44*(F44-B44)/365)/E44)-0.5*N44*N44*(F44-B44)/365)/N44/SQRT((F44-B44)/365),0,1,TRUE)+E44*NORMDIST((-1*LN(D44*EXP(O44*(F44-B44)/365)/E44)+0.5*N44*N44*(F44-B44)/365)/N44/SQRT((F44-B44)/365),0,1,TRUE),0))*EXP(-1*P44*(F44-B44)/365)</f>
        <v>28850.435081814259</v>
      </c>
      <c r="I44" s="127">
        <f t="shared" ref="I44:I58" si="37">IF(G$26="C",(D44+0.5)*EXP(O44*(F44-B44)/365)*NORMDIST((LN((D44+0.5)*EXP(O44*(F44-B44)/365)/E44)+0.5*N44*N44*(F44-B44)/365)/N44/SQRT((F44-B44)/365),0,1,TRUE)-E44*NORMDIST((LN((D44+0.5)*EXP(O44*(F44-B44)/365)/E44)-0.5*N44*N44*(F44-B44)/365)/N44/SQRT((F44-B44)/365),0,1,TRUE),IF(G$26="P",-1*(D44+0.5)*EXP(O44*(F44-B44)/365)*NORMDIST((-1*LN((D44+0.5)*EXP(O44*(F44-B44)/365)/E44)-0.5*N44*N44*(F44-B44)/365)/N44/SQRT((F44-B44)/365),0,1,TRUE)+E44*NORMDIST((-1*LN((D44+0.5)*EXP(O44*(F44-B44)/365)/E44)+0.5*N44*N44*(F44-B44)/365)/N44/SQRT((F44-B44)/365),0,1,TRUE),0))*EXP(-1*P44*(F44-B44)/365)-IF(G$26="C",(D44-0.5)*EXP(O44*(F44-B44)/365)*NORMDIST((LN((D44-0.5)*EXP(O44*(F44-B44)/365)/E44)+0.5*N44*N44*(F44-B44)/365)/N44/SQRT((F44-B44)/365),0,1,TRUE)-E44*NORMDIST((LN((D44-0.5)*EXP(O44*(F44-B44)/365)/E44)-0.5*N44*N44*(F44-B44)/365)/N44/SQRT((F44-B44)/365),0,1,TRUE),IF(G$26="P",-1*(D44-0.5)*EXP(O44*(F44-B44)/365)*NORMDIST((-1*LN((D44-0.5)*EXP(O44*(F44-B44)/365)/E44)-0.5*N44*N44*(F44-B44)/365)/N44/SQRT((F44-B44)/365),0,1,TRUE)+E44*NORMDIST((-1*LN((D44-0.5)*EXP(O44*(F44-B44)/365)/E44)+0.5*N44*N44*(F44-B44)/365)/N44/SQRT((F44-B44)/365),0,1,TRUE),0))*EXP(-1*P44*(F44-B44)/365)</f>
        <v>-0.92741346737238928</v>
      </c>
      <c r="J44" s="127">
        <f>IF(G44="C",D44*EXP(O44*(F44-B44)/365)*NORMDIST((LN(D44*EXP(O44*(F44-B44)/365)/E44)+0.5*(N44+1%)*(N44+1%)*(F44-B44)/365)/(N44+1%)/SQRT((F44-B44)/365),0,1,TRUE)-E44*NORMDIST((LN(D44*EXP(O44*(F44-B44)/365)/E44)-0.5*(N44+1%)*(N44+1%)*(F44-B44)/365)/(N44+1%)/SQRT((F44-B44)/365),0,1,TRUE),IF(G44="P",-1*D44*EXP(O44*(F44-B44)/365)*NORMDIST((-1*LN(D44*EXP(O44*(F44-B44)/365)/E44)-0.5*(N44+1%)*(N44+1%)*(F44-B44)/365)/(N44+1%)/SQRT((F44-B44)/365),0,1,TRUE)+E44*NORMDIST((-1*LN(D44*EXP(O44*(F44-B44)/365)/E44)+0.5*(N44+1%)*(N44+1%)*(F44-B44)/365)/(N44+1%)/SQRT((F44-B44)/365),0,1,TRUE),0))*EXP(-1*P44*(F44-B44)/365)-IF(G44="C",D44*EXP(O44*(F44-B44)/365)*NORMDIST((LN(D44*EXP(O44*(F44-B44)/365)/E44)+0.5*N44*N44*(F44-B44)/365)/N44/SQRT((F44-B44)/365),0,1,TRUE)-E44*NORMDIST((LN(D44*EXP(O44*(F44-B44)/365)/E44)-0.5*N44*N44*(F44-B44)/365)/N44/SQRT((F44-B44)/365),0,1,TRUE),IF(G44="P",-1*D44*EXP(O44*(F44-B44)/365)*NORMDIST((-1*LN(D44*EXP(O44*(F44-B44)/365)/E44)-0.5*N44*N44*(F44-B44)/365)/N44/SQRT((F44-B44)/365),0,1,TRUE)+E44*NORMDIST((-1*LN(D44*EXP(O44*(F44-B44)/365)/E44)+0.5*N44*N44*(F44-B44)/365)/N44/SQRT((F44-B44)/365),0,1,TRUE),0))*EXP(-1*P44*(F44-B44)/365)</f>
        <v>113.71826330008116</v>
      </c>
      <c r="K44" s="142">
        <f ca="1">'Summary Sheet'!$H$15*10000000/$J$36</f>
        <v>12809.6739179412</v>
      </c>
      <c r="L44" s="139">
        <f ca="1">K44*J44</f>
        <v>1456693.8713886195</v>
      </c>
      <c r="M44" s="139">
        <f t="shared" ref="M44:M58" ca="1" si="38">K44*I44</f>
        <v>-11879.864104147508</v>
      </c>
      <c r="N44" s="143">
        <f>$F$3</f>
        <v>0.17100307000000001</v>
      </c>
      <c r="O44" s="143">
        <f>$I$2</f>
        <v>3.4799999999999998E-2</v>
      </c>
      <c r="P44" s="144">
        <f>$I$3</f>
        <v>3.4799999999999998E-2</v>
      </c>
      <c r="Q44" s="141" t="s">
        <v>199</v>
      </c>
      <c r="R44" s="144">
        <f>SUMIF(MarketData!$I$26:$I$1204,"&lt;"&amp;F44,MarketData!$J$26:$J$1204)/D44*365/(F44-B44)*(IF(G44="P",IF(U$26="O",'Pricing Params'!$M$2,1),IF(U$26="O",1,IF(U$26="OLD",1,'Pricing Params'!$M$2))))</f>
        <v>1.2567509884139192E-2</v>
      </c>
      <c r="S44" s="145">
        <f t="shared" ref="S44:S58" si="39">EXP(O44*(F44-B44)/365)*D44</f>
        <v>44096.762033643739</v>
      </c>
      <c r="T44" s="143">
        <f>VLOOKUP(F44,'Pricing Params'!B:C,2,0)</f>
        <v>0</v>
      </c>
      <c r="U44" s="145" t="s">
        <v>47</v>
      </c>
      <c r="V44" s="146">
        <f t="shared" ref="V44:V58" si="40">H44/D44</f>
        <v>0.75132319644303336</v>
      </c>
      <c r="W44" s="147">
        <f t="shared" ref="W44:W58" si="41">IF(G44="C",(D44+1)*EXP(O44*(F44-B44)/365)*NORMDIST((LN((D44+1)*EXP(O44*(F44-B44)/365)/E44)+0.5*N44*N44*(F44-B44)/365)/N44/SQRT((F44-B44)/365),0,1,TRUE)-E44*NORMDIST((LN((D44+1)*EXP(O44*(F44-B44)/365)/E44)-0.5*N44*N44*(F44-B44)/365)/N44/SQRT((F44-B44)/365),0,1,TRUE),IF(G44="P",-1*(D44+1)*EXP(O44*(F44-B44)/365)*NORMDIST((-1*LN((D44+1)*EXP(O44*(F44-B44)/365)/E44)-0.5*N44*N44*(F44-B44)/365)/N44/SQRT((F44-B44)/365),0,1,TRUE)+E44*NORMDIST((-1*LN((D44+1)*EXP(O44*(F44-B44)/365)/E44)+0.5*N44*N44*(F44-B44)/365)/N44/SQRT((F44-B44)/365),0,1,TRUE),0))*EXP(-1*P44*(F44-B44)/365)+IF(G44="C",(D44-1)*EXP(O44*(F44-B44)/365)*NORMDIST((LN((D44-1)*EXP(O44*(F44-B44)/365)/E44)+0.5*N44*N44*(F44-B44)/365)/N44/SQRT((F44-B44)/365),0,1,TRUE)-E44*NORMDIST((LN((D44-1)*EXP(O44*(F44-B44)/365)/E44)-0.5*N44*N44*(F44-B44)/365)/N44/SQRT((F44-B44)/365),0,1,TRUE),IF(G44="P",-1*(D44-1)*EXP(O44*(F44-B44)/365)*NORMDIST((-1*LN((D44-1)*EXP(O44*(F44-B44)/365)/E44)-0.5*N44*N44*(F44-B44)/365)/N44/SQRT((F44-B44)/365),0,1,TRUE)+E44*NORMDIST((-1*LN((D44-1)*EXP(O44*(F44-B44)/365)/E44)+0.5*N44*N44*(F44-B44)/365)/N44/SQRT((F44-B44)/365),0,1,TRUE),0))*EXP(-1*P44*(F44-B44)/365)-2*IF(G44="C",D44*EXP(O44*(F44-B44)/365)*NORMDIST((LN(D44*EXP(O44*(F44-B44)/365)/E44)+0.5*N44*N44*(F44-B44)/365)/N44/SQRT((F44-B44)/365),0,1,TRUE)-E44*NORMDIST((LN(D44*EXP(O44*(F44-B44)/365)/E44)-0.5*N44*N44*(F44-B44)/365)/N44/SQRT((F44-B44)/365),0,1,TRUE),IF(G44="P",-1*D44*EXP(O44*(F44-B44)/365)*NORMDIST((-1*LN(D44*EXP(O44*(F44-B44)/365)/E44)-0.5*N44*N44*(F44-B44)/365)/N44/SQRT((F44-B44)/365),0,1,TRUE)+E44*NORMDIST((-1*LN(D44*EXP(O44*(F44-B44)/365)/E44)+0.5*N44*N44*(F44-B44)/365)/N44/SQRT((F44-B44)/365),0,1,TRUE),0))*EXP(-1*P44*(F44-B44)/365)</f>
        <v>1.0545154509600252E-5</v>
      </c>
      <c r="X44" s="148">
        <f t="shared" ref="X44:X58" si="42">IF(G44="C",D44*EXP(O44*(F44-B44-1)/365)*NORMDIST((LN(D44*EXP(O44*(F44-B44-1)/365)/E44)+0.5*N44*N44*(F44-B44-1)/365)/N44/SQRT((F44-B44-1)/365),0,1,TRUE)-E44*NORMDIST((LN(D44*EXP(O44*(F44-B44-1)/365)/E44)-0.5*N44*N44*(F44-B44-1)/365)/N44/SQRT((F44-B44-1)/365),0,1,TRUE),IF(G44="P",-1*D44*EXP(O44*(F44-B44-1)/365)*NORMDIST((-1*LN(D44*EXP(O44*(F44-B44-1)/365)/E44)-0.5*N44*N44*(F44-B44-1)/365)/N44/SQRT((F44-B44-1)/365),0,1,TRUE)+E44*NORMDIST((-1*LN(D44*EXP(O44*(F44-B44-1)/365)/E44)+0.5*N44*N44*(F44-B44-1)/365)/N44/SQRT((F44-B44-1)/365),0,1,TRUE),0))*EXP(-1*P44*(F44-B44-1)/365)-IF(G44="C",D44*EXP(O44*(F44-B44)/365)*NORMDIST((LN(D44*EXP(O44*(F44-B44)/365)/E44)+0.5*N44*N44*(F44-B44)/365)/N44/SQRT((F44-B44)/365),0,1,TRUE)-E44*NORMDIST((LN(D44*EXP(O44*(F44-B44)/365)/E44)-0.5*N44*N44*(F44-B44)/365)/N44/SQRT((F44-B44)/365),0,1,TRUE),IF(G44="P",-1*D44*EXP(O44*(F44-B44)/365)*NORMDIST((-1*LN(D44*EXP(O44*(F44-B44)/365)/E44)-0.5*N44*N44*(F44-B44)/365)/N44/SQRT((F44-B44)/365),0,1,TRUE)+E44*NORMDIST((-1*LN(D44*EXP(O44*(F44-B44)/365)/E44)+0.5*N44*N44*(F44-B44)/365)/N44/SQRT((F44-B44)/365),0,1,TRUE),0))*EXP(-1*P44*(F44-B44)/365)</f>
        <v>5.5239618290979706</v>
      </c>
      <c r="Y44" s="148">
        <f t="shared" ref="Y44:Y58" si="43">IF(G44="C",D44*EXP((O44+1%)*(F44-B44)/365)*NORMDIST((LN(D44*EXP((O44+1%)*(F44-B44)/365)/E44)+0.5*N44*N44*(F44-B44)/365)/N44/SQRT((F44-B44)/365),0,1,TRUE)-E44*NORMDIST((LN(D44*EXP((O44+1%)*(F44-B44)/365)/E44)-0.5*N44*N44*(F44-B44)/365)/N44/SQRT((F44-B44)/365),0,1,TRUE),IF(G44="P",-1*D44*EXP((O44+1%)*(F44-B44)/365)*NORMDIST((-1*LN(D44*EXP((O44+1%)*(F44-B44)/365)/E44)-0.5*N44*N44*(F44-B44)/365)/N44/SQRT((F44-B44)/365),0,1,TRUE)+E44*NORMDIST((-1*LN(D44*EXP((O44+1%)*(F44-B44)/365)/E44)+0.5*N44*N44*(F44-B44)/365)/N44/SQRT((F44-B44)/365),0,1,TRUE),0))*EXP(-1*(P44+1%)*(F44-B44)/365)-IF(G44="C",D44*EXP(O44*(F44-B44)/365)*NORMDIST((LN(D44*EXP(O44*(F44-B44)/365)/E44)+0.5*N44*N44*(F44-B44)/365)/N44/SQRT((F44-B44)/365),0,1,TRUE)-E44*NORMDIST((LN(D44*EXP(O44*(F44-B44)/365)/E44)-0.5*N44*N44*(F44-B44)/365)/N44/SQRT((F44-B44)/365),0,1,TRUE),IF(G44="P",-1*D44*EXP(O44*(F44-B44)/365)*NORMDIST((-1*LN(D44*EXP(O44*(F44-B44)/365)/E44)-0.5*N44*N44*(F44-B44)/365)/N44/SQRT((F44-B44)/365),0,1,TRUE)+E44*NORMDIST((-1*LN(D44*EXP(O44*(F44-B44)/365)/E44)+0.5*N44*N44*(F44-B44)/365)/N44/SQRT((F44-B44)/365),0,1,TRUE),0))*EXP(-1*P44*(F44-B44)/365)</f>
        <v>-2499.5140960057142</v>
      </c>
      <c r="Z44" s="149">
        <f t="shared" ref="Z44:Z58" ca="1" si="44">K44*H44*-1</f>
        <v>-369564665.78877193</v>
      </c>
      <c r="AA44" s="149">
        <f t="shared" ref="AA44:AA58" ca="1" si="45">I44*D44*K44</f>
        <v>-456180841.66721219</v>
      </c>
      <c r="AB44" s="150">
        <f t="shared" ref="AB44:AB58" ca="1" si="46">K44*W44</f>
        <v>0.13507999068228638</v>
      </c>
      <c r="AC44" s="149">
        <f t="shared" ref="AC44:AC58" ca="1" si="47">X44*K44</f>
        <v>70760.149765899041</v>
      </c>
      <c r="AD44" s="149">
        <f t="shared" ref="AD44:AD58" ca="1" si="48">Y44*K44</f>
        <v>-32017960.523130774</v>
      </c>
      <c r="AE44" s="151">
        <f>IF(F44&gt;MarketData!$B$26,INDEX(MarketData!$B$26:$B$64,MATCH(F44,MarketData!$B$26:$B$64)),MarketData!$B$26)</f>
        <v>46021</v>
      </c>
      <c r="AF44" s="151">
        <f>IF(AE44&gt;MarketData!$B$26,INDEX(MarketData!$B$26:$B$64,MATCH(AE44,MarketData!$B$26:$B$64)+1),MarketData!$B$26)</f>
        <v>0</v>
      </c>
      <c r="AG44" s="169">
        <f>VLOOKUP(AE44,MarketData!$B$26:$D$43,3,0)/100</f>
        <v>6.5000000000000002E-2</v>
      </c>
      <c r="AH44" s="146">
        <f>IF(AF44=0,AG44,VLOOKUP(AF44,MarketData!$B$26:$D$43,3,0)/100)</f>
        <v>6.5000000000000002E-2</v>
      </c>
    </row>
    <row r="45" spans="2:34">
      <c r="B45" s="20">
        <f>'Summary Sheet'!$C$2</f>
        <v>46238</v>
      </c>
      <c r="C45" s="10">
        <v>-0.45</v>
      </c>
      <c r="D45" s="138">
        <f t="shared" si="33"/>
        <v>42239.450000000004</v>
      </c>
      <c r="E45" s="138">
        <f t="shared" si="34"/>
        <v>76800</v>
      </c>
      <c r="F45" s="20">
        <f t="shared" si="35"/>
        <v>47689</v>
      </c>
      <c r="G45" s="4" t="s">
        <v>29</v>
      </c>
      <c r="H45" s="139">
        <f t="shared" si="36"/>
        <v>25375.303323909578</v>
      </c>
      <c r="I45" s="127">
        <f t="shared" si="37"/>
        <v>-0.88045253232485265</v>
      </c>
      <c r="J45" s="127">
        <f t="shared" ref="J45:J58" si="49">IF(G45="C",D45*EXP(O45*(F45-B45)/365)*NORMDIST((LN(D45*EXP(O45*(F45-B45)/365)/E45)+0.5*(N45+1%)*(N45+1%)*(F45-B45)/365)/(N45+1%)/SQRT((F45-B45)/365),0,1,TRUE)-E45*NORMDIST((LN(D45*EXP(O45*(F45-B45)/365)/E45)-0.5*(N45+1%)*(N45+1%)*(F45-B45)/365)/(N45+1%)/SQRT((F45-B45)/365),0,1,TRUE),IF(G45="P",-1*D45*EXP(O45*(F45-B45)/365)*NORMDIST((-1*LN(D45*EXP(O45*(F45-B45)/365)/E45)-0.5*(N45+1%)*(N45+1%)*(F45-B45)/365)/(N45+1%)/SQRT((F45-B45)/365),0,1,TRUE)+E45*NORMDIST((-1*LN(D45*EXP(O45*(F45-B45)/365)/E45)+0.5*(N45+1%)*(N45+1%)*(F45-B45)/365)/(N45+1%)/SQRT((F45-B45)/365),0,1,TRUE),0))*EXP(-1*P45*(F45-B45)/365)-IF(G45="C",D45*EXP(O45*(F45-B45)/365)*NORMDIST((LN(D45*EXP(O45*(F45-B45)/365)/E45)+0.5*N45*N45*(F45-B45)/365)/N45/SQRT((F45-B45)/365),0,1,TRUE)-E45*NORMDIST((LN(D45*EXP(O45*(F45-B45)/365)/E45)-0.5*N45*N45*(F45-B45)/365)/N45/SQRT((F45-B45)/365),0,1,TRUE),IF(G45="P",-1*D45*EXP(O45*(F45-B45)/365)*NORMDIST((-1*LN(D45*EXP(O45*(F45-B45)/365)/E45)-0.5*N45*N45*(F45-B45)/365)/N45/SQRT((F45-B45)/365),0,1,TRUE)+E45*NORMDIST((-1*LN(D45*EXP(O45*(F45-B45)/365)/E45)+0.5*N45*N45*(F45-B45)/365)/N45/SQRT((F45-B45)/365),0,1,TRUE),0))*EXP(-1*P45*(F45-B45)/365)</f>
        <v>176.58217184535897</v>
      </c>
      <c r="K45" s="142">
        <f ca="1">'Summary Sheet'!$H$15*10000000/$J$36</f>
        <v>12809.6739179412</v>
      </c>
      <c r="L45" s="139">
        <f t="shared" ref="L45:L58" ca="1" si="50">K45*J45</f>
        <v>2261960.0410609054</v>
      </c>
      <c r="M45" s="139">
        <f t="shared" ca="1" si="38"/>
        <v>-11278.309839306947</v>
      </c>
      <c r="N45" s="143">
        <f t="shared" ref="N45:N58" si="51">$F$3</f>
        <v>0.17100307000000001</v>
      </c>
      <c r="O45" s="143">
        <f t="shared" ref="O45:O58" si="52">$I$2</f>
        <v>3.4799999999999998E-2</v>
      </c>
      <c r="P45" s="144">
        <f t="shared" ref="P45:P58" si="53">$I$3</f>
        <v>3.4799999999999998E-2</v>
      </c>
      <c r="Q45" s="141" t="s">
        <v>199</v>
      </c>
      <c r="R45" s="144">
        <f>SUMIF(MarketData!$I$26:$I$1204,"&lt;"&amp;F45,MarketData!$J$26:$J$1204)/D45*365/(F45-B45)*(IF(G45="P",IF(U$26="O",'Pricing Params'!$M$2,1),IF(U$26="O",1,IF(U$26="OLD",1,'Pricing Params'!$M$2))))</f>
        <v>1.1425008985581081E-2</v>
      </c>
      <c r="S45" s="145">
        <f t="shared" si="39"/>
        <v>48506.438237008115</v>
      </c>
      <c r="T45" s="143">
        <f>VLOOKUP(F45,'Pricing Params'!B:C,2,0)</f>
        <v>0</v>
      </c>
      <c r="U45" s="145" t="s">
        <v>47</v>
      </c>
      <c r="V45" s="146">
        <f t="shared" si="40"/>
        <v>0.60074890473028353</v>
      </c>
      <c r="W45" s="147">
        <f t="shared" si="41"/>
        <v>1.385322684654966E-5</v>
      </c>
      <c r="X45" s="148">
        <f t="shared" si="42"/>
        <v>4.9758853226303472</v>
      </c>
      <c r="Y45" s="148">
        <f t="shared" si="43"/>
        <v>-2418.2238368086983</v>
      </c>
      <c r="Z45" s="149">
        <f t="shared" ca="1" si="44"/>
        <v>-325049361.14813113</v>
      </c>
      <c r="AA45" s="149">
        <f t="shared" ca="1" si="45"/>
        <v>-476389604.54191381</v>
      </c>
      <c r="AB45" s="150">
        <f t="shared" ca="1" si="46"/>
        <v>0.17745531861556998</v>
      </c>
      <c r="AC45" s="149">
        <f t="shared" ca="1" si="47"/>
        <v>63739.468435964394</v>
      </c>
      <c r="AD45" s="149">
        <f t="shared" ca="1" si="48"/>
        <v>-30976658.810112078</v>
      </c>
      <c r="AE45" s="151">
        <f>IF(F45&gt;MarketData!$B$26,INDEX(MarketData!$B$26:$B$64,MATCH(F45,MarketData!$B$26:$B$64)),MarketData!$B$26)</f>
        <v>46021</v>
      </c>
      <c r="AF45" s="151">
        <f>IF(AE45&gt;MarketData!$B$26,INDEX(MarketData!$B$26:$B$64,MATCH(AE45,MarketData!$B$26:$B$64)+1),MarketData!$B$26)</f>
        <v>0</v>
      </c>
      <c r="AG45" s="169">
        <f>VLOOKUP(AE45,MarketData!$B$26:$D$43,3,0)/100</f>
        <v>6.5000000000000002E-2</v>
      </c>
      <c r="AH45" s="146">
        <f>IF(AF45=0,AG45,VLOOKUP(AF45,MarketData!$B$26:$D$43,3,0)/100)</f>
        <v>6.5000000000000002E-2</v>
      </c>
    </row>
    <row r="46" spans="2:34">
      <c r="B46" s="20">
        <f>'Summary Sheet'!$C$2</f>
        <v>46238</v>
      </c>
      <c r="C46" s="10">
        <v>-0.4</v>
      </c>
      <c r="D46" s="138">
        <f t="shared" si="33"/>
        <v>46079.4</v>
      </c>
      <c r="E46" s="138">
        <f t="shared" si="34"/>
        <v>76800</v>
      </c>
      <c r="F46" s="20">
        <f t="shared" si="35"/>
        <v>47689</v>
      </c>
      <c r="G46" s="4" t="s">
        <v>29</v>
      </c>
      <c r="H46" s="139">
        <f t="shared" si="36"/>
        <v>22103.739282229559</v>
      </c>
      <c r="I46" s="127">
        <f t="shared" si="37"/>
        <v>-0.82174863410546095</v>
      </c>
      <c r="J46" s="127">
        <f t="shared" si="49"/>
        <v>247.45976904657437</v>
      </c>
      <c r="K46" s="142">
        <f ca="1">'Summary Sheet'!$H$15*10000000/$J$36</f>
        <v>12809.6739179412</v>
      </c>
      <c r="L46" s="139">
        <f t="shared" ca="1" si="50"/>
        <v>3169878.9492956568</v>
      </c>
      <c r="M46" s="139">
        <f t="shared" ca="1" si="38"/>
        <v>-10526.33204540453</v>
      </c>
      <c r="N46" s="143">
        <f t="shared" si="51"/>
        <v>0.17100307000000001</v>
      </c>
      <c r="O46" s="143">
        <f t="shared" si="52"/>
        <v>3.4799999999999998E-2</v>
      </c>
      <c r="P46" s="144">
        <f t="shared" si="53"/>
        <v>3.4799999999999998E-2</v>
      </c>
      <c r="Q46" s="141" t="s">
        <v>199</v>
      </c>
      <c r="R46" s="144">
        <f>SUMIF(MarketData!$I$26:$I$1204,"&lt;"&amp;F46,MarketData!$J$26:$J$1204)/D46*365/(F46-B46)*(IF(G46="P",IF(U$26="O",'Pricing Params'!$M$2,1),IF(U$26="O",1,IF(U$26="OLD",1,'Pricing Params'!$M$2))))</f>
        <v>1.0472924903449326E-2</v>
      </c>
      <c r="S46" s="145">
        <f t="shared" si="39"/>
        <v>52916.114440372483</v>
      </c>
      <c r="T46" s="143">
        <f>VLOOKUP(F46,'Pricing Params'!B:C,2,0)</f>
        <v>0</v>
      </c>
      <c r="U46" s="145" t="s">
        <v>47</v>
      </c>
      <c r="V46" s="146">
        <f t="shared" si="40"/>
        <v>0.47968808800091922</v>
      </c>
      <c r="W46" s="147">
        <f t="shared" si="41"/>
        <v>1.6599638911429793E-5</v>
      </c>
      <c r="X46" s="148">
        <f t="shared" si="42"/>
        <v>4.3065909340402868</v>
      </c>
      <c r="Y46" s="148">
        <f t="shared" si="43"/>
        <v>-2308.7587540115856</v>
      </c>
      <c r="Z46" s="149">
        <f t="shared" ca="1" si="44"/>
        <v>-283141692.57254833</v>
      </c>
      <c r="AA46" s="149">
        <f t="shared" ca="1" si="45"/>
        <v>-485047064.85301346</v>
      </c>
      <c r="AB46" s="150">
        <f t="shared" ca="1" si="46"/>
        <v>0.21263596161098405</v>
      </c>
      <c r="AC46" s="149">
        <f t="shared" ca="1" si="47"/>
        <v>55166.025563017894</v>
      </c>
      <c r="AD46" s="149">
        <f t="shared" ca="1" si="48"/>
        <v>-29574446.79408063</v>
      </c>
      <c r="AE46" s="151">
        <f>IF(F46&gt;MarketData!$B$26,INDEX(MarketData!$B$26:$B$64,MATCH(F46,MarketData!$B$26:$B$64)),MarketData!$B$26)</f>
        <v>46021</v>
      </c>
      <c r="AF46" s="151">
        <f>IF(AE46&gt;MarketData!$B$26,INDEX(MarketData!$B$26:$B$64,MATCH(AE46,MarketData!$B$26:$B$64)+1),MarketData!$B$26)</f>
        <v>0</v>
      </c>
      <c r="AG46" s="169">
        <f>VLOOKUP(AE46,MarketData!$B$26:$D$43,3,0)/100</f>
        <v>6.5000000000000002E-2</v>
      </c>
      <c r="AH46" s="146">
        <f>IF(AF46=0,AG46,VLOOKUP(AF46,MarketData!$B$26:$D$43,3,0)/100)</f>
        <v>6.5000000000000002E-2</v>
      </c>
    </row>
    <row r="47" spans="2:34">
      <c r="B47" s="20">
        <f>'Summary Sheet'!$C$2</f>
        <v>46238</v>
      </c>
      <c r="C47" s="10">
        <v>-0.35</v>
      </c>
      <c r="D47" s="138">
        <f t="shared" si="33"/>
        <v>49919.35</v>
      </c>
      <c r="E47" s="138">
        <f t="shared" si="34"/>
        <v>76800</v>
      </c>
      <c r="F47" s="20">
        <f t="shared" si="35"/>
        <v>47689</v>
      </c>
      <c r="G47" s="4" t="s">
        <v>29</v>
      </c>
      <c r="H47" s="139">
        <f t="shared" si="36"/>
        <v>19075.900047239567</v>
      </c>
      <c r="I47" s="127">
        <f t="shared" si="37"/>
        <v>-0.75404875279855332</v>
      </c>
      <c r="J47" s="127">
        <f t="shared" si="49"/>
        <v>319.72047987575934</v>
      </c>
      <c r="K47" s="142">
        <f ca="1">'Summary Sheet'!$H$15*10000000/$J$36</f>
        <v>12809.6739179412</v>
      </c>
      <c r="L47" s="139">
        <f t="shared" ca="1" si="50"/>
        <v>4095515.0920961588</v>
      </c>
      <c r="M47" s="139">
        <f t="shared" ca="1" si="38"/>
        <v>-9659.1186415797201</v>
      </c>
      <c r="N47" s="143">
        <f t="shared" si="51"/>
        <v>0.17100307000000001</v>
      </c>
      <c r="O47" s="143">
        <f t="shared" si="52"/>
        <v>3.4799999999999998E-2</v>
      </c>
      <c r="P47" s="144">
        <f t="shared" si="53"/>
        <v>3.4799999999999998E-2</v>
      </c>
      <c r="Q47" s="141" t="s">
        <v>199</v>
      </c>
      <c r="R47" s="144">
        <f>SUMIF(MarketData!$I$26:$I$1204,"&lt;"&amp;F47,MarketData!$J$26:$J$1204)/D47*365/(F47-B47)*(IF(G47="P",IF(U$26="O",'Pricing Params'!$M$2,1),IF(U$26="O",1,IF(U$26="OLD",1,'Pricing Params'!$M$2))))</f>
        <v>9.6673152954916859E-3</v>
      </c>
      <c r="S47" s="145">
        <f t="shared" si="39"/>
        <v>57325.790643736858</v>
      </c>
      <c r="T47" s="143">
        <f>VLOOKUP(F47,'Pricing Params'!B:C,2,0)</f>
        <v>0</v>
      </c>
      <c r="U47" s="145" t="s">
        <v>47</v>
      </c>
      <c r="V47" s="146">
        <f t="shared" si="40"/>
        <v>0.38213438370570868</v>
      </c>
      <c r="W47" s="147">
        <f t="shared" si="41"/>
        <v>1.850879198173061E-5</v>
      </c>
      <c r="X47" s="148">
        <f t="shared" si="42"/>
        <v>3.5607490747133852</v>
      </c>
      <c r="Y47" s="148">
        <f t="shared" si="43"/>
        <v>-2173.5802842167504</v>
      </c>
      <c r="Z47" s="149">
        <f t="shared" ca="1" si="44"/>
        <v>-244356059.29637799</v>
      </c>
      <c r="AA47" s="149">
        <f t="shared" ca="1" si="45"/>
        <v>-482176924.16054255</v>
      </c>
      <c r="AB47" s="150">
        <f t="shared" ca="1" si="46"/>
        <v>0.23709158990097381</v>
      </c>
      <c r="AC47" s="149">
        <f t="shared" ca="1" si="47"/>
        <v>45612.034550689314</v>
      </c>
      <c r="AD47" s="149">
        <f t="shared" ca="1" si="48"/>
        <v>-27842854.675282527</v>
      </c>
      <c r="AE47" s="151">
        <f>IF(F47&gt;MarketData!$B$26,INDEX(MarketData!$B$26:$B$64,MATCH(F47,MarketData!$B$26:$B$64)),MarketData!$B$26)</f>
        <v>46021</v>
      </c>
      <c r="AF47" s="151">
        <f>IF(AE47&gt;MarketData!$B$26,INDEX(MarketData!$B$26:$B$64,MATCH(AE47,MarketData!$B$26:$B$64)+1),MarketData!$B$26)</f>
        <v>0</v>
      </c>
      <c r="AG47" s="169">
        <f>VLOOKUP(AE47,MarketData!$B$26:$D$43,3,0)/100</f>
        <v>6.5000000000000002E-2</v>
      </c>
      <c r="AH47" s="146">
        <f>IF(AF47=0,AG47,VLOOKUP(AF47,MarketData!$B$26:$D$43,3,0)/100)</f>
        <v>6.5000000000000002E-2</v>
      </c>
    </row>
    <row r="48" spans="2:34">
      <c r="B48" s="20">
        <f>'Summary Sheet'!$C$2</f>
        <v>46238</v>
      </c>
      <c r="C48" s="10">
        <v>-0.3</v>
      </c>
      <c r="D48" s="138">
        <f t="shared" si="33"/>
        <v>53759.299999999996</v>
      </c>
      <c r="E48" s="138">
        <f t="shared" si="34"/>
        <v>76800</v>
      </c>
      <c r="F48" s="20">
        <f t="shared" si="35"/>
        <v>47689</v>
      </c>
      <c r="G48" s="4" t="s">
        <v>29</v>
      </c>
      <c r="H48" s="139">
        <f t="shared" si="36"/>
        <v>16319.827435507645</v>
      </c>
      <c r="I48" s="127">
        <f t="shared" si="37"/>
        <v>-0.68079712101462064</v>
      </c>
      <c r="J48" s="127">
        <f t="shared" si="49"/>
        <v>386.94474256169815</v>
      </c>
      <c r="K48" s="142">
        <f ca="1">'Summary Sheet'!$H$15*10000000/$J$36</f>
        <v>12809.6739179412</v>
      </c>
      <c r="L48" s="139">
        <f t="shared" ca="1" si="50"/>
        <v>4956635.9764770567</v>
      </c>
      <c r="M48" s="139">
        <f t="shared" ca="1" si="38"/>
        <v>-8720.7891244704442</v>
      </c>
      <c r="N48" s="143">
        <f t="shared" si="51"/>
        <v>0.17100307000000001</v>
      </c>
      <c r="O48" s="143">
        <f t="shared" si="52"/>
        <v>3.4799999999999998E-2</v>
      </c>
      <c r="P48" s="144">
        <f t="shared" si="53"/>
        <v>3.4799999999999998E-2</v>
      </c>
      <c r="Q48" s="141" t="s">
        <v>199</v>
      </c>
      <c r="R48" s="144">
        <f>SUMIF(MarketData!$I$26:$I$1204,"&lt;"&amp;F48,MarketData!$J$26:$J$1204)/D48*365/(F48-B48)*(IF(G48="P",IF(U$26="O",'Pricing Params'!$M$2,1),IF(U$26="O",1,IF(U$26="OLD",1,'Pricing Params'!$M$2))))</f>
        <v>8.9767927743851367E-3</v>
      </c>
      <c r="S48" s="145">
        <f t="shared" si="39"/>
        <v>61735.466847101226</v>
      </c>
      <c r="T48" s="143">
        <f>VLOOKUP(F48,'Pricing Params'!B:C,2,0)</f>
        <v>0</v>
      </c>
      <c r="U48" s="145" t="s">
        <v>47</v>
      </c>
      <c r="V48" s="146">
        <f t="shared" si="40"/>
        <v>0.30357217142908566</v>
      </c>
      <c r="W48" s="147">
        <f t="shared" si="41"/>
        <v>1.9490013073664159E-5</v>
      </c>
      <c r="X48" s="148">
        <f t="shared" si="42"/>
        <v>2.7896431964545627</v>
      </c>
      <c r="Y48" s="148">
        <f t="shared" si="43"/>
        <v>-2017.7569360660218</v>
      </c>
      <c r="Z48" s="149">
        <f t="shared" ca="1" si="44"/>
        <v>-209051667.84592348</v>
      </c>
      <c r="AA48" s="149">
        <f t="shared" ca="1" si="45"/>
        <v>-468823518.77914393</v>
      </c>
      <c r="AB48" s="150">
        <f t="shared" ca="1" si="46"/>
        <v>0.24966071213004876</v>
      </c>
      <c r="AC48" s="149">
        <f t="shared" ca="1" si="47"/>
        <v>35734.419693986129</v>
      </c>
      <c r="AD48" s="149">
        <f t="shared" ca="1" si="48"/>
        <v>-25846808.396669868</v>
      </c>
      <c r="AE48" s="151">
        <f>IF(F48&gt;MarketData!$B$26,INDEX(MarketData!$B$26:$B$64,MATCH(F48,MarketData!$B$26:$B$64)),MarketData!$B$26)</f>
        <v>46021</v>
      </c>
      <c r="AF48" s="151">
        <f>IF(AE48&gt;MarketData!$B$26,INDEX(MarketData!$B$26:$B$64,MATCH(AE48,MarketData!$B$26:$B$64)+1),MarketData!$B$26)</f>
        <v>0</v>
      </c>
      <c r="AG48" s="169">
        <f>VLOOKUP(AE48,MarketData!$B$26:$D$43,3,0)/100</f>
        <v>6.5000000000000002E-2</v>
      </c>
      <c r="AH48" s="146">
        <f>IF(AF48=0,AG48,VLOOKUP(AF48,MarketData!$B$26:$D$43,3,0)/100)</f>
        <v>6.5000000000000002E-2</v>
      </c>
    </row>
    <row r="49" spans="2:34">
      <c r="B49" s="20">
        <f>'Summary Sheet'!$C$2</f>
        <v>46238</v>
      </c>
      <c r="C49" s="10">
        <v>-0.25</v>
      </c>
      <c r="D49" s="138">
        <f t="shared" si="33"/>
        <v>57599.25</v>
      </c>
      <c r="E49" s="138">
        <f t="shared" si="34"/>
        <v>76800</v>
      </c>
      <c r="F49" s="20">
        <f t="shared" si="35"/>
        <v>47689</v>
      </c>
      <c r="G49" s="4" t="s">
        <v>29</v>
      </c>
      <c r="H49" s="139">
        <f t="shared" si="36"/>
        <v>13850.063016030164</v>
      </c>
      <c r="I49" s="127">
        <f t="shared" si="37"/>
        <v>-0.60548653101795935</v>
      </c>
      <c r="J49" s="127">
        <f t="shared" si="49"/>
        <v>444.01170998298039</v>
      </c>
      <c r="K49" s="142">
        <f ca="1">'Summary Sheet'!$H$15*10000000/$J$36</f>
        <v>12809.6739179412</v>
      </c>
      <c r="L49" s="139">
        <f t="shared" ca="1" si="50"/>
        <v>5687645.2206294565</v>
      </c>
      <c r="M49" s="139">
        <f t="shared" ca="1" si="38"/>
        <v>-7756.0850240454492</v>
      </c>
      <c r="N49" s="143">
        <f t="shared" si="51"/>
        <v>0.17100307000000001</v>
      </c>
      <c r="O49" s="143">
        <f t="shared" si="52"/>
        <v>3.4799999999999998E-2</v>
      </c>
      <c r="P49" s="144">
        <f t="shared" si="53"/>
        <v>3.4799999999999998E-2</v>
      </c>
      <c r="Q49" s="141" t="s">
        <v>199</v>
      </c>
      <c r="R49" s="144">
        <f>SUMIF(MarketData!$I$26:$I$1204,"&lt;"&amp;F49,MarketData!$J$26:$J$1204)/D49*365/(F49-B49)*(IF(G49="P",IF(U$26="O",'Pricing Params'!$M$2,1),IF(U$26="O",1,IF(U$26="OLD",1,'Pricing Params'!$M$2))))</f>
        <v>8.3783399227594611E-3</v>
      </c>
      <c r="S49" s="145">
        <f t="shared" si="39"/>
        <v>66145.143050465602</v>
      </c>
      <c r="T49" s="143">
        <f>VLOOKUP(F49,'Pricing Params'!B:C,2,0)</f>
        <v>0</v>
      </c>
      <c r="U49" s="145" t="s">
        <v>47</v>
      </c>
      <c r="V49" s="146">
        <f t="shared" si="40"/>
        <v>0.24045561384966235</v>
      </c>
      <c r="W49" s="147">
        <f t="shared" si="41"/>
        <v>1.9599934603320435E-5</v>
      </c>
      <c r="X49" s="148">
        <f t="shared" si="42"/>
        <v>2.041161955361531</v>
      </c>
      <c r="Y49" s="148">
        <f t="shared" si="43"/>
        <v>-1847.8325859418055</v>
      </c>
      <c r="Z49" s="149">
        <f t="shared" ca="1" si="44"/>
        <v>-177414790.97828361</v>
      </c>
      <c r="AA49" s="149">
        <f t="shared" ca="1" si="45"/>
        <v>-446744680.32124984</v>
      </c>
      <c r="AB49" s="150">
        <f t="shared" ca="1" si="46"/>
        <v>0.25106877108150699</v>
      </c>
      <c r="AC49" s="149">
        <f t="shared" ca="1" si="47"/>
        <v>26146.619061888465</v>
      </c>
      <c r="AD49" s="149">
        <f t="shared" ca="1" si="48"/>
        <v>-23670132.880860586</v>
      </c>
      <c r="AE49" s="151">
        <f>IF(F49&gt;MarketData!$B$26,INDEX(MarketData!$B$26:$B$64,MATCH(F49,MarketData!$B$26:$B$64)),MarketData!$B$26)</f>
        <v>46021</v>
      </c>
      <c r="AF49" s="151">
        <f>IF(AE49&gt;MarketData!$B$26,INDEX(MarketData!$B$26:$B$64,MATCH(AE49,MarketData!$B$26:$B$64)+1),MarketData!$B$26)</f>
        <v>0</v>
      </c>
      <c r="AG49" s="169">
        <f>VLOOKUP(AE49,MarketData!$B$26:$D$43,3,0)/100</f>
        <v>6.5000000000000002E-2</v>
      </c>
      <c r="AH49" s="146">
        <f>IF(AF49=0,AG49,VLOOKUP(AF49,MarketData!$B$26:$D$43,3,0)/100)</f>
        <v>6.5000000000000002E-2</v>
      </c>
    </row>
    <row r="50" spans="2:34">
      <c r="B50" s="20">
        <f>'Summary Sheet'!$C$2</f>
        <v>46238</v>
      </c>
      <c r="C50" s="10">
        <v>-0.2</v>
      </c>
      <c r="D50" s="138">
        <f t="shared" si="33"/>
        <v>61439.200000000004</v>
      </c>
      <c r="E50" s="138">
        <f t="shared" si="34"/>
        <v>76800</v>
      </c>
      <c r="F50" s="20">
        <f t="shared" si="35"/>
        <v>47689</v>
      </c>
      <c r="G50" s="4" t="s">
        <v>29</v>
      </c>
      <c r="H50" s="139">
        <f t="shared" si="36"/>
        <v>11668.412928845028</v>
      </c>
      <c r="I50" s="127">
        <f t="shared" si="37"/>
        <v>-0.53119905982566706</v>
      </c>
      <c r="J50" s="127">
        <f t="shared" si="49"/>
        <v>487.61641064371361</v>
      </c>
      <c r="K50" s="142">
        <f ca="1">'Summary Sheet'!$H$15*10000000/$J$36</f>
        <v>12809.6739179412</v>
      </c>
      <c r="L50" s="139">
        <f t="shared" ca="1" si="50"/>
        <v>6246207.2173828837</v>
      </c>
      <c r="M50" s="139">
        <f t="shared" ca="1" si="38"/>
        <v>-6804.4867418837348</v>
      </c>
      <c r="N50" s="143">
        <f t="shared" si="51"/>
        <v>0.17100307000000001</v>
      </c>
      <c r="O50" s="143">
        <f t="shared" si="52"/>
        <v>3.4799999999999998E-2</v>
      </c>
      <c r="P50" s="144">
        <f t="shared" si="53"/>
        <v>3.4799999999999998E-2</v>
      </c>
      <c r="Q50" s="141" t="s">
        <v>199</v>
      </c>
      <c r="R50" s="144">
        <f>SUMIF(MarketData!$I$26:$I$1204,"&lt;"&amp;F50,MarketData!$J$26:$J$1204)/D50*365/(F50-B50)*(IF(G50="P",IF(U$26="O",'Pricing Params'!$M$2,1),IF(U$26="O",1,IF(U$26="OLD",1,'Pricing Params'!$M$2))))</f>
        <v>7.8546936775869929E-3</v>
      </c>
      <c r="S50" s="145">
        <f t="shared" si="39"/>
        <v>70554.819253829977</v>
      </c>
      <c r="T50" s="143">
        <f>VLOOKUP(F50,'Pricing Params'!B:C,2,0)</f>
        <v>0</v>
      </c>
      <c r="U50" s="145" t="s">
        <v>47</v>
      </c>
      <c r="V50" s="146">
        <f t="shared" si="40"/>
        <v>0.18991804790500247</v>
      </c>
      <c r="W50" s="147">
        <f t="shared" si="41"/>
        <v>1.8986407667398453E-5</v>
      </c>
      <c r="X50" s="148">
        <f t="shared" si="42"/>
        <v>1.3533423779190343</v>
      </c>
      <c r="Y50" s="148">
        <f t="shared" si="43"/>
        <v>-1670.7260477037416</v>
      </c>
      <c r="Z50" s="149">
        <f t="shared" ca="1" si="44"/>
        <v>-149468564.75839403</v>
      </c>
      <c r="AA50" s="149">
        <f t="shared" ca="1" si="45"/>
        <v>-418062221.83194315</v>
      </c>
      <c r="AB50" s="150">
        <f t="shared" ca="1" si="46"/>
        <v>0.24320969109247279</v>
      </c>
      <c r="AC50" s="149">
        <f t="shared" ca="1" si="47"/>
        <v>17335.874560473978</v>
      </c>
      <c r="AD50" s="149">
        <f t="shared" ca="1" si="48"/>
        <v>-21401455.877295606</v>
      </c>
      <c r="AE50" s="151">
        <f>IF(F50&gt;MarketData!$B$26,INDEX(MarketData!$B$26:$B$64,MATCH(F50,MarketData!$B$26:$B$64)),MarketData!$B$26)</f>
        <v>46021</v>
      </c>
      <c r="AF50" s="151">
        <f>IF(AE50&gt;MarketData!$B$26,INDEX(MarketData!$B$26:$B$64,MATCH(AE50,MarketData!$B$26:$B$64)+1),MarketData!$B$26)</f>
        <v>0</v>
      </c>
      <c r="AG50" s="169">
        <f>VLOOKUP(AE50,MarketData!$B$26:$D$43,3,0)/100</f>
        <v>6.5000000000000002E-2</v>
      </c>
      <c r="AH50" s="146">
        <f>IF(AF50=0,AG50,VLOOKUP(AF50,MarketData!$B$26:$D$43,3,0)/100)</f>
        <v>6.5000000000000002E-2</v>
      </c>
    </row>
    <row r="51" spans="2:34">
      <c r="B51" s="20">
        <f>'Summary Sheet'!$C$2</f>
        <v>46238</v>
      </c>
      <c r="C51" s="10">
        <v>-0.15</v>
      </c>
      <c r="D51" s="138">
        <f t="shared" si="33"/>
        <v>65279.15</v>
      </c>
      <c r="E51" s="138">
        <f t="shared" si="34"/>
        <v>76800</v>
      </c>
      <c r="F51" s="20">
        <f t="shared" si="35"/>
        <v>47689</v>
      </c>
      <c r="G51" s="4" t="s">
        <v>29</v>
      </c>
      <c r="H51" s="139">
        <f t="shared" si="36"/>
        <v>9766.0616233035817</v>
      </c>
      <c r="I51" s="127">
        <f t="shared" si="37"/>
        <v>-0.46036018164522829</v>
      </c>
      <c r="J51" s="127">
        <f t="shared" si="49"/>
        <v>516.30350737280423</v>
      </c>
      <c r="K51" s="142">
        <f ca="1">'Summary Sheet'!$H$15*10000000/$J$36</f>
        <v>12809.6739179412</v>
      </c>
      <c r="L51" s="139">
        <f t="shared" ca="1" si="50"/>
        <v>6613679.5721349725</v>
      </c>
      <c r="M51" s="139">
        <f t="shared" ca="1" si="38"/>
        <v>-5897.0638116795535</v>
      </c>
      <c r="N51" s="143">
        <f t="shared" si="51"/>
        <v>0.17100307000000001</v>
      </c>
      <c r="O51" s="143">
        <f t="shared" si="52"/>
        <v>3.4799999999999998E-2</v>
      </c>
      <c r="P51" s="144">
        <f t="shared" si="53"/>
        <v>3.4799999999999998E-2</v>
      </c>
      <c r="Q51" s="141" t="s">
        <v>199</v>
      </c>
      <c r="R51" s="144">
        <f>SUMIF(MarketData!$I$26:$I$1204,"&lt;"&amp;F51,MarketData!$J$26:$J$1204)/D51*365/(F51-B51)*(IF(G51="P",IF(U$26="O",'Pricing Params'!$M$2,1),IF(U$26="O",1,IF(U$26="OLD",1,'Pricing Params'!$M$2))))</f>
        <v>7.3926528730230527E-3</v>
      </c>
      <c r="S51" s="145">
        <f t="shared" si="39"/>
        <v>74964.495457194353</v>
      </c>
      <c r="T51" s="143">
        <f>VLOOKUP(F51,'Pricing Params'!B:C,2,0)</f>
        <v>0</v>
      </c>
      <c r="U51" s="145" t="s">
        <v>47</v>
      </c>
      <c r="V51" s="146">
        <f t="shared" si="40"/>
        <v>0.14960460764736644</v>
      </c>
      <c r="W51" s="147">
        <f t="shared" si="41"/>
        <v>1.7835827748058364E-5</v>
      </c>
      <c r="X51" s="148">
        <f t="shared" si="42"/>
        <v>0.75166924015502445</v>
      </c>
      <c r="Y51" s="148">
        <f t="shared" si="43"/>
        <v>-1492.878676983164</v>
      </c>
      <c r="Z51" s="149">
        <f t="shared" ca="1" si="44"/>
        <v>-125100064.85703838</v>
      </c>
      <c r="AA51" s="149">
        <f t="shared" ca="1" si="45"/>
        <v>-384955313.12220138</v>
      </c>
      <c r="AB51" s="150">
        <f t="shared" ca="1" si="46"/>
        <v>0.22847113750919515</v>
      </c>
      <c r="AC51" s="149">
        <f t="shared" ca="1" si="47"/>
        <v>9628.6378605324971</v>
      </c>
      <c r="AD51" s="149">
        <f t="shared" ca="1" si="48"/>
        <v>-19123289.051201802</v>
      </c>
      <c r="AE51" s="151">
        <f>IF(F51&gt;MarketData!$B$26,INDEX(MarketData!$B$26:$B$64,MATCH(F51,MarketData!$B$26:$B$64)),MarketData!$B$26)</f>
        <v>46021</v>
      </c>
      <c r="AF51" s="151">
        <f>IF(AE51&gt;MarketData!$B$26,INDEX(MarketData!$B$26:$B$64,MATCH(AE51,MarketData!$B$26:$B$64)+1),MarketData!$B$26)</f>
        <v>0</v>
      </c>
      <c r="AG51" s="169">
        <f>VLOOKUP(AE51,MarketData!$B$26:$D$43,3,0)/100</f>
        <v>6.5000000000000002E-2</v>
      </c>
      <c r="AH51" s="146">
        <f>IF(AF51=0,AG51,VLOOKUP(AF51,MarketData!$B$26:$D$43,3,0)/100)</f>
        <v>6.5000000000000002E-2</v>
      </c>
    </row>
    <row r="52" spans="2:34">
      <c r="B52" s="20">
        <f>'Summary Sheet'!$C$2</f>
        <v>46238</v>
      </c>
      <c r="C52" s="10">
        <v>-0.1</v>
      </c>
      <c r="D52" s="138">
        <f t="shared" si="33"/>
        <v>69119.100000000006</v>
      </c>
      <c r="E52" s="138">
        <f t="shared" si="34"/>
        <v>76800</v>
      </c>
      <c r="F52" s="20">
        <f t="shared" si="35"/>
        <v>47689</v>
      </c>
      <c r="G52" s="4" t="s">
        <v>29</v>
      </c>
      <c r="H52" s="139">
        <f t="shared" si="36"/>
        <v>8126.2747284081615</v>
      </c>
      <c r="I52" s="127">
        <f t="shared" si="37"/>
        <v>-0.39466885537694907</v>
      </c>
      <c r="J52" s="127">
        <f t="shared" si="49"/>
        <v>530.18979870031035</v>
      </c>
      <c r="K52" s="142">
        <f ca="1">'Summary Sheet'!$H$15*10000000/$J$36</f>
        <v>12809.6739179412</v>
      </c>
      <c r="L52" s="139">
        <f t="shared" ca="1" si="50"/>
        <v>6791558.4359698603</v>
      </c>
      <c r="M52" s="139">
        <f t="shared" ca="1" si="38"/>
        <v>-5055.5793429458117</v>
      </c>
      <c r="N52" s="143">
        <f t="shared" si="51"/>
        <v>0.17100307000000001</v>
      </c>
      <c r="O52" s="143">
        <f t="shared" si="52"/>
        <v>3.4799999999999998E-2</v>
      </c>
      <c r="P52" s="144">
        <f t="shared" si="53"/>
        <v>3.4799999999999998E-2</v>
      </c>
      <c r="Q52" s="141" t="s">
        <v>199</v>
      </c>
      <c r="R52" s="144">
        <f>SUMIF(MarketData!$I$26:$I$1204,"&lt;"&amp;F52,MarketData!$J$26:$J$1204)/D52*365/(F52-B52)*(IF(G52="P",IF(U$26="O",'Pricing Params'!$M$2,1),IF(U$26="O",1,IF(U$26="OLD",1,'Pricing Params'!$M$2))))</f>
        <v>6.9819499356328831E-3</v>
      </c>
      <c r="S52" s="145">
        <f t="shared" si="39"/>
        <v>79374.171660558728</v>
      </c>
      <c r="T52" s="143">
        <f>VLOOKUP(F52,'Pricing Params'!B:C,2,0)</f>
        <v>0</v>
      </c>
      <c r="U52" s="145" t="s">
        <v>47</v>
      </c>
      <c r="V52" s="146">
        <f t="shared" si="40"/>
        <v>0.11756916291456573</v>
      </c>
      <c r="W52" s="147">
        <f t="shared" si="41"/>
        <v>1.6335055988747627E-5</v>
      </c>
      <c r="X52" s="148">
        <f t="shared" si="42"/>
        <v>0.2492807515509412</v>
      </c>
      <c r="Y52" s="148">
        <f t="shared" si="43"/>
        <v>-1319.7194293432467</v>
      </c>
      <c r="Z52" s="149">
        <f t="shared" ca="1" si="44"/>
        <v>-104094929.43851474</v>
      </c>
      <c r="AA52" s="149">
        <f t="shared" ca="1" si="45"/>
        <v>-349437094.16300589</v>
      </c>
      <c r="AB52" s="150">
        <f t="shared" ca="1" si="46"/>
        <v>0.20924674064716967</v>
      </c>
      <c r="AC52" s="149">
        <f t="shared" ca="1" si="47"/>
        <v>3193.2051413868717</v>
      </c>
      <c r="AD52" s="149">
        <f t="shared" ca="1" si="48"/>
        <v>-16905175.553058431</v>
      </c>
      <c r="AE52" s="151">
        <f>IF(F52&gt;MarketData!$B$26,INDEX(MarketData!$B$26:$B$64,MATCH(F52,MarketData!$B$26:$B$64)),MarketData!$B$26)</f>
        <v>46021</v>
      </c>
      <c r="AF52" s="151">
        <f>IF(AE52&gt;MarketData!$B$26,INDEX(MarketData!$B$26:$B$64,MATCH(AE52,MarketData!$B$26:$B$64)+1),MarketData!$B$26)</f>
        <v>0</v>
      </c>
      <c r="AG52" s="169">
        <f>VLOOKUP(AE52,MarketData!$B$26:$D$43,3,0)/100</f>
        <v>6.5000000000000002E-2</v>
      </c>
      <c r="AH52" s="146">
        <f>IF(AF52=0,AG52,VLOOKUP(AF52,MarketData!$B$26:$D$43,3,0)/100)</f>
        <v>6.5000000000000002E-2</v>
      </c>
    </row>
    <row r="53" spans="2:34">
      <c r="B53" s="20">
        <f>'Summary Sheet'!$C$2</f>
        <v>46238</v>
      </c>
      <c r="C53" s="10">
        <v>-0.05</v>
      </c>
      <c r="D53" s="138">
        <f t="shared" si="33"/>
        <v>72959.05</v>
      </c>
      <c r="E53" s="138">
        <f t="shared" si="34"/>
        <v>76800</v>
      </c>
      <c r="F53" s="20">
        <f t="shared" si="35"/>
        <v>47689</v>
      </c>
      <c r="G53" s="4" t="s">
        <v>29</v>
      </c>
      <c r="H53" s="139">
        <f t="shared" si="36"/>
        <v>6727.1250947576409</v>
      </c>
      <c r="I53" s="127">
        <f t="shared" si="37"/>
        <v>-0.33514548351013218</v>
      </c>
      <c r="J53" s="127">
        <f t="shared" si="49"/>
        <v>530.54419815763686</v>
      </c>
      <c r="K53" s="142">
        <f ca="1">'Summary Sheet'!$H$15*10000000/$J$36</f>
        <v>12809.6739179412</v>
      </c>
      <c r="L53" s="139">
        <f t="shared" ca="1" si="50"/>
        <v>6796098.1774549084</v>
      </c>
      <c r="M53" s="139">
        <f t="shared" ca="1" si="38"/>
        <v>-4293.1043588355324</v>
      </c>
      <c r="N53" s="143">
        <f t="shared" si="51"/>
        <v>0.17100307000000001</v>
      </c>
      <c r="O53" s="143">
        <f t="shared" si="52"/>
        <v>3.4799999999999998E-2</v>
      </c>
      <c r="P53" s="144">
        <f t="shared" si="53"/>
        <v>3.4799999999999998E-2</v>
      </c>
      <c r="Q53" s="141" t="s">
        <v>199</v>
      </c>
      <c r="R53" s="144">
        <f>SUMIF(MarketData!$I$26:$I$1204,"&lt;"&amp;F53,MarketData!$J$26:$J$1204)/D53*365/(F53-B53)*(IF(G53="P",IF(U$26="O",'Pricing Params'!$M$2,1),IF(U$26="O",1,IF(U$26="OLD",1,'Pricing Params'!$M$2))))</f>
        <v>6.6144788863890481E-3</v>
      </c>
      <c r="S53" s="145">
        <f t="shared" si="39"/>
        <v>83783.847863923103</v>
      </c>
      <c r="T53" s="143">
        <f>VLOOKUP(F53,'Pricing Params'!B:C,2,0)</f>
        <v>0</v>
      </c>
      <c r="U53" s="145" t="s">
        <v>47</v>
      </c>
      <c r="V53" s="146">
        <f t="shared" si="40"/>
        <v>9.2204121281152102E-2</v>
      </c>
      <c r="W53" s="147">
        <f t="shared" si="41"/>
        <v>1.4648030628450215E-5</v>
      </c>
      <c r="X53" s="148">
        <f t="shared" si="42"/>
        <v>-0.15107297507893236</v>
      </c>
      <c r="Y53" s="148">
        <f t="shared" si="43"/>
        <v>-1155.4211730281495</v>
      </c>
      <c r="Z53" s="149">
        <f t="shared" ca="1" si="44"/>
        <v>-86172278.869044676</v>
      </c>
      <c r="AA53" s="149">
        <f t="shared" ca="1" si="45"/>
        <v>-313220815.57149959</v>
      </c>
      <c r="AB53" s="150">
        <f t="shared" ca="1" si="46"/>
        <v>0.18763649589046255</v>
      </c>
      <c r="AC53" s="149">
        <f t="shared" ca="1" si="47"/>
        <v>-1935.1955485743806</v>
      </c>
      <c r="AD53" s="149">
        <f t="shared" ca="1" si="48"/>
        <v>-14800568.464375712</v>
      </c>
      <c r="AE53" s="151">
        <f>IF(F53&gt;MarketData!$B$26,INDEX(MarketData!$B$26:$B$64,MATCH(F53,MarketData!$B$26:$B$64)),MarketData!$B$26)</f>
        <v>46021</v>
      </c>
      <c r="AF53" s="151">
        <f>IF(AE53&gt;MarketData!$B$26,INDEX(MarketData!$B$26:$B$64,MATCH(AE53,MarketData!$B$26:$B$64)+1),MarketData!$B$26)</f>
        <v>0</v>
      </c>
      <c r="AG53" s="169">
        <f>VLOOKUP(AE53,MarketData!$B$26:$D$43,3,0)/100</f>
        <v>6.5000000000000002E-2</v>
      </c>
      <c r="AH53" s="146">
        <f>IF(AF53=0,AG53,VLOOKUP(AF53,MarketData!$B$26:$D$43,3,0)/100)</f>
        <v>6.5000000000000002E-2</v>
      </c>
    </row>
    <row r="54" spans="2:34">
      <c r="B54" s="152">
        <f>'Summary Sheet'!$C$2</f>
        <v>46238</v>
      </c>
      <c r="C54" s="153">
        <v>0</v>
      </c>
      <c r="D54" s="154">
        <f t="shared" si="33"/>
        <v>76799</v>
      </c>
      <c r="E54" s="154">
        <f t="shared" si="34"/>
        <v>76800</v>
      </c>
      <c r="F54" s="152">
        <f t="shared" si="35"/>
        <v>47689</v>
      </c>
      <c r="G54" s="155" t="s">
        <v>29</v>
      </c>
      <c r="H54" s="156">
        <f t="shared" si="36"/>
        <v>5543.8976781530555</v>
      </c>
      <c r="I54" s="157">
        <f t="shared" si="37"/>
        <v>-0.28224310651694395</v>
      </c>
      <c r="J54" s="157">
        <f t="shared" si="49"/>
        <v>519.35025177208536</v>
      </c>
      <c r="K54" s="158">
        <f ca="1">'Summary Sheet'!$H$15*10000000/$J$36</f>
        <v>12809.6739179412</v>
      </c>
      <c r="L54" s="156">
        <f t="shared" ca="1" si="50"/>
        <v>6652707.3744010776</v>
      </c>
      <c r="M54" s="156">
        <f t="shared" ca="1" si="38"/>
        <v>-3615.442160068797</v>
      </c>
      <c r="N54" s="159">
        <f t="shared" si="51"/>
        <v>0.17100307000000001</v>
      </c>
      <c r="O54" s="159">
        <f t="shared" si="52"/>
        <v>3.4799999999999998E-2</v>
      </c>
      <c r="P54" s="160">
        <f t="shared" si="53"/>
        <v>3.4799999999999998E-2</v>
      </c>
      <c r="Q54" s="161" t="s">
        <v>199</v>
      </c>
      <c r="R54" s="160">
        <f>SUMIF(MarketData!$I$26:$I$1204,"&lt;"&amp;F54,MarketData!$J$26:$J$1204)/D54*365/(F54-B54)*(IF(G54="P",IF(U$26="O",'Pricing Params'!$M$2,1),IF(U$26="O",1,IF(U$26="OLD",1,'Pricing Params'!$M$2))))</f>
        <v>6.2837549420695958E-3</v>
      </c>
      <c r="S54" s="162">
        <f t="shared" si="39"/>
        <v>88193.524067287479</v>
      </c>
      <c r="T54" s="159">
        <f>VLOOKUP(F54,'Pricing Params'!B:C,2,0)</f>
        <v>0</v>
      </c>
      <c r="U54" s="162" t="s">
        <v>47</v>
      </c>
      <c r="V54" s="163">
        <f t="shared" si="40"/>
        <v>7.2187107620581725E-2</v>
      </c>
      <c r="W54" s="164">
        <f t="shared" si="41"/>
        <v>1.2905404219054617E-5</v>
      </c>
      <c r="X54" s="165">
        <f t="shared" si="42"/>
        <v>-0.45433506927020062</v>
      </c>
      <c r="Y54" s="165">
        <f t="shared" si="43"/>
        <v>-1002.8777766616222</v>
      </c>
      <c r="Z54" s="166">
        <f t="shared" ca="1" si="44"/>
        <v>-71015521.491571978</v>
      </c>
      <c r="AA54" s="166">
        <f t="shared" ca="1" si="45"/>
        <v>-277662342.45112354</v>
      </c>
      <c r="AB54" s="167">
        <f t="shared" ca="1" si="46"/>
        <v>0.16531401982531224</v>
      </c>
      <c r="AC54" s="166">
        <f t="shared" ca="1" si="47"/>
        <v>-5819.8840868364969</v>
      </c>
      <c r="AD54" s="166">
        <f t="shared" ca="1" si="48"/>
        <v>-12846537.298585242</v>
      </c>
      <c r="AE54" s="168">
        <f>IF(F54&gt;MarketData!$B$26,INDEX(MarketData!$B$26:$B$64,MATCH(F54,MarketData!$B$26:$B$64)),MarketData!$B$26)</f>
        <v>46021</v>
      </c>
      <c r="AF54" s="168">
        <f>IF(AE54&gt;MarketData!$B$26,INDEX(MarketData!$B$26:$B$64,MATCH(AE54,MarketData!$B$26:$B$64)+1),MarketData!$B$26)</f>
        <v>0</v>
      </c>
      <c r="AG54" s="170">
        <f>VLOOKUP(AE54,MarketData!$B$26:$D$43,3,0)/100</f>
        <v>6.5000000000000002E-2</v>
      </c>
      <c r="AH54" s="163">
        <f>IF(AF54=0,AG54,VLOOKUP(AF54,MarketData!$B$26:$D$43,3,0)/100)</f>
        <v>6.5000000000000002E-2</v>
      </c>
    </row>
    <row r="55" spans="2:34">
      <c r="B55" s="20">
        <f>'Summary Sheet'!$C$2</f>
        <v>46238</v>
      </c>
      <c r="C55" s="10">
        <v>0.05</v>
      </c>
      <c r="D55" s="138">
        <f t="shared" si="33"/>
        <v>80638.95</v>
      </c>
      <c r="E55" s="138">
        <f t="shared" si="34"/>
        <v>76800</v>
      </c>
      <c r="F55" s="20">
        <f t="shared" si="35"/>
        <v>47689</v>
      </c>
      <c r="G55" s="4" t="s">
        <v>29</v>
      </c>
      <c r="H55" s="139">
        <f t="shared" si="36"/>
        <v>4551.0142681493344</v>
      </c>
      <c r="I55" s="127">
        <f t="shared" si="37"/>
        <v>-0.2359807284838098</v>
      </c>
      <c r="J55" s="127">
        <f t="shared" si="49"/>
        <v>498.9253303145988</v>
      </c>
      <c r="K55" s="142">
        <f ca="1">'Summary Sheet'!$H$15*10000000/$J$36</f>
        <v>12809.6739179412</v>
      </c>
      <c r="L55" s="139">
        <f t="shared" ca="1" si="50"/>
        <v>6391070.7907311143</v>
      </c>
      <c r="M55" s="139">
        <f t="shared" ca="1" si="38"/>
        <v>-3022.8361827958224</v>
      </c>
      <c r="N55" s="143">
        <f t="shared" si="51"/>
        <v>0.17100307000000001</v>
      </c>
      <c r="O55" s="143">
        <f t="shared" si="52"/>
        <v>3.4799999999999998E-2</v>
      </c>
      <c r="P55" s="144">
        <f t="shared" si="53"/>
        <v>3.4799999999999998E-2</v>
      </c>
      <c r="Q55" s="141" t="s">
        <v>199</v>
      </c>
      <c r="R55" s="144">
        <f>SUMIF(MarketData!$I$26:$I$1204,"&lt;"&amp;F55,MarketData!$J$26:$J$1204)/D55*365/(F55-B55)*(IF(G55="P",IF(U$26="O",'Pricing Params'!$M$2,1),IF(U$26="O",1,IF(U$26="OLD",1,'Pricing Params'!$M$2))))</f>
        <v>5.9845285162567572E-3</v>
      </c>
      <c r="S55" s="145">
        <f t="shared" si="39"/>
        <v>92603.20027065184</v>
      </c>
      <c r="T55" s="143">
        <f>VLOOKUP(F55,'Pricing Params'!B:C,2,0)</f>
        <v>0</v>
      </c>
      <c r="U55" s="145" t="s">
        <v>47</v>
      </c>
      <c r="V55" s="146">
        <f t="shared" si="40"/>
        <v>5.6436923696914887E-2</v>
      </c>
      <c r="W55" s="147">
        <f t="shared" si="41"/>
        <v>1.1202784662600607E-5</v>
      </c>
      <c r="X55" s="148">
        <f t="shared" si="42"/>
        <v>-0.67042147441770794</v>
      </c>
      <c r="Y55" s="148">
        <f t="shared" si="43"/>
        <v>-863.82306442091067</v>
      </c>
      <c r="Z55" s="149">
        <f t="shared" ca="1" si="44"/>
        <v>-58297008.770890787</v>
      </c>
      <c r="AA55" s="149">
        <f t="shared" ca="1" si="45"/>
        <v>-243758335.80266318</v>
      </c>
      <c r="AB55" s="150">
        <f t="shared" ca="1" si="46"/>
        <v>0.1435040185008267</v>
      </c>
      <c r="AC55" s="149">
        <f t="shared" ca="1" si="47"/>
        <v>-8587.8804748761959</v>
      </c>
      <c r="AD55" s="149">
        <f t="shared" ca="1" si="48"/>
        <v>-11065291.778028579</v>
      </c>
      <c r="AE55" s="151">
        <f>IF(F55&gt;MarketData!$B$26,INDEX(MarketData!$B$26:$B$64,MATCH(F55,MarketData!$B$26:$B$64)),MarketData!$B$26)</f>
        <v>46021</v>
      </c>
      <c r="AF55" s="151">
        <f>IF(AE55&gt;MarketData!$B$26,INDEX(MarketData!$B$26:$B$64,MATCH(AE55,MarketData!$B$26:$B$64)+1),MarketData!$B$26)</f>
        <v>0</v>
      </c>
      <c r="AG55" s="169">
        <f>VLOOKUP(AE55,MarketData!$B$26:$D$43,3,0)/100</f>
        <v>6.5000000000000002E-2</v>
      </c>
      <c r="AH55" s="146">
        <f>IF(AF55=0,AG55,VLOOKUP(AF55,MarketData!$B$26:$D$43,3,0)/100)</f>
        <v>6.5000000000000002E-2</v>
      </c>
    </row>
    <row r="56" spans="2:34">
      <c r="B56" s="20">
        <f>'Summary Sheet'!$C$2</f>
        <v>46238</v>
      </c>
      <c r="C56" s="10">
        <v>0.1</v>
      </c>
      <c r="D56" s="138">
        <f t="shared" si="33"/>
        <v>84478.900000000009</v>
      </c>
      <c r="E56" s="138">
        <f t="shared" si="34"/>
        <v>76800</v>
      </c>
      <c r="F56" s="20">
        <f t="shared" si="35"/>
        <v>47689</v>
      </c>
      <c r="G56" s="4" t="s">
        <v>29</v>
      </c>
      <c r="H56" s="139">
        <f t="shared" si="36"/>
        <v>3723.4478115787433</v>
      </c>
      <c r="I56" s="127">
        <f t="shared" si="37"/>
        <v>-0.19607260739394405</v>
      </c>
      <c r="J56" s="127">
        <f t="shared" si="49"/>
        <v>471.62874544946044</v>
      </c>
      <c r="K56" s="142">
        <f ca="1">'Summary Sheet'!$H$15*10000000/$J$36</f>
        <v>12809.6739179412</v>
      </c>
      <c r="L56" s="139">
        <f t="shared" ca="1" si="50"/>
        <v>6041410.4395352826</v>
      </c>
      <c r="M56" s="139">
        <f t="shared" ca="1" si="38"/>
        <v>-2511.6261649569301</v>
      </c>
      <c r="N56" s="143">
        <f t="shared" si="51"/>
        <v>0.17100307000000001</v>
      </c>
      <c r="O56" s="143">
        <f t="shared" si="52"/>
        <v>3.4799999999999998E-2</v>
      </c>
      <c r="P56" s="144">
        <f t="shared" si="53"/>
        <v>3.4799999999999998E-2</v>
      </c>
      <c r="Q56" s="141" t="s">
        <v>199</v>
      </c>
      <c r="R56" s="144">
        <f>SUMIF(MarketData!$I$26:$I$1204,"&lt;"&amp;F56,MarketData!$J$26:$J$1204)/D56*365/(F56-B56)*(IF(G56="P",IF(U$26="O",'Pricing Params'!$M$2,1),IF(U$26="O",1,IF(U$26="OLD",1,'Pricing Params'!$M$2))))</f>
        <v>5.7125044927905403E-3</v>
      </c>
      <c r="S56" s="145">
        <f t="shared" si="39"/>
        <v>97012.87647401623</v>
      </c>
      <c r="T56" s="143">
        <f>VLOOKUP(F56,'Pricing Params'!B:C,2,0)</f>
        <v>0</v>
      </c>
      <c r="U56" s="145" t="s">
        <v>47</v>
      </c>
      <c r="V56" s="146">
        <f t="shared" si="40"/>
        <v>4.4075476972104788E-2</v>
      </c>
      <c r="W56" s="147">
        <f t="shared" si="41"/>
        <v>9.604128536011558E-6</v>
      </c>
      <c r="X56" s="148">
        <f t="shared" si="42"/>
        <v>-0.81187746981322562</v>
      </c>
      <c r="Y56" s="148">
        <f t="shared" si="43"/>
        <v>-739.02357797382865</v>
      </c>
      <c r="Z56" s="149">
        <f t="shared" ca="1" si="44"/>
        <v>-47696152.316795468</v>
      </c>
      <c r="AA56" s="149">
        <f t="shared" ca="1" si="45"/>
        <v>-212179415.62678</v>
      </c>
      <c r="AB56" s="150">
        <f t="shared" ca="1" si="46"/>
        <v>0.12302575481230206</v>
      </c>
      <c r="AC56" s="149">
        <f t="shared" ca="1" si="47"/>
        <v>-10399.885649630571</v>
      </c>
      <c r="AD56" s="149">
        <f t="shared" ca="1" si="48"/>
        <v>-9466651.0515149366</v>
      </c>
      <c r="AE56" s="151">
        <f>IF(F56&gt;MarketData!$B$26,INDEX(MarketData!$B$26:$B$64,MATCH(F56,MarketData!$B$26:$B$64)),MarketData!$B$26)</f>
        <v>46021</v>
      </c>
      <c r="AF56" s="151">
        <f>IF(AE56&gt;MarketData!$B$26,INDEX(MarketData!$B$26:$B$64,MATCH(AE56,MarketData!$B$26:$B$64)+1),MarketData!$B$26)</f>
        <v>0</v>
      </c>
      <c r="AG56" s="169">
        <f>VLOOKUP(AE56,MarketData!$B$26:$D$43,3,0)/100</f>
        <v>6.5000000000000002E-2</v>
      </c>
      <c r="AH56" s="146">
        <f>IF(AF56=0,AG56,VLOOKUP(AF56,MarketData!$B$26:$D$43,3,0)/100)</f>
        <v>6.5000000000000002E-2</v>
      </c>
    </row>
    <row r="57" spans="2:34">
      <c r="B57" s="20">
        <f>'Summary Sheet'!$C$2</f>
        <v>46238</v>
      </c>
      <c r="C57" s="10">
        <v>0.15</v>
      </c>
      <c r="D57" s="138">
        <f t="shared" si="33"/>
        <v>88318.849999999991</v>
      </c>
      <c r="E57" s="138">
        <f t="shared" si="34"/>
        <v>76800</v>
      </c>
      <c r="F57" s="20">
        <f t="shared" si="35"/>
        <v>47689</v>
      </c>
      <c r="G57" s="4" t="s">
        <v>29</v>
      </c>
      <c r="H57" s="139">
        <f t="shared" si="36"/>
        <v>3037.6717370937108</v>
      </c>
      <c r="I57" s="127">
        <f t="shared" si="37"/>
        <v>-0.1620396839298337</v>
      </c>
      <c r="J57" s="127">
        <f t="shared" si="49"/>
        <v>439.66293097117614</v>
      </c>
      <c r="K57" s="142">
        <f ca="1">'Summary Sheet'!$H$15*10000000/$J$36</f>
        <v>12809.6739179412</v>
      </c>
      <c r="L57" s="139">
        <f t="shared" ca="1" si="50"/>
        <v>5631938.7795470571</v>
      </c>
      <c r="M57" s="139">
        <f t="shared" ca="1" si="38"/>
        <v>-2075.6755129074263</v>
      </c>
      <c r="N57" s="143">
        <f t="shared" si="51"/>
        <v>0.17100307000000001</v>
      </c>
      <c r="O57" s="143">
        <f t="shared" si="52"/>
        <v>3.4799999999999998E-2</v>
      </c>
      <c r="P57" s="144">
        <f t="shared" si="53"/>
        <v>3.4799999999999998E-2</v>
      </c>
      <c r="Q57" s="141" t="s">
        <v>199</v>
      </c>
      <c r="R57" s="144">
        <f>SUMIF(MarketData!$I$26:$I$1204,"&lt;"&amp;F57,MarketData!$J$26:$J$1204)/D57*365/(F57-B57)*(IF(G57="P",IF(U$26="O",'Pricing Params'!$M$2,1),IF(U$26="O",1,IF(U$26="OLD",1,'Pricing Params'!$M$2))))</f>
        <v>5.4641347322344309E-3</v>
      </c>
      <c r="S57" s="145">
        <f t="shared" si="39"/>
        <v>101422.55267738058</v>
      </c>
      <c r="T57" s="143">
        <f>VLOOKUP(F57,'Pricing Params'!B:C,2,0)</f>
        <v>0</v>
      </c>
      <c r="U57" s="145" t="s">
        <v>47</v>
      </c>
      <c r="V57" s="146">
        <f t="shared" si="40"/>
        <v>3.4394376026111201E-2</v>
      </c>
      <c r="W57" s="147">
        <f t="shared" si="41"/>
        <v>8.1472016972838901E-6</v>
      </c>
      <c r="X57" s="148">
        <f t="shared" si="42"/>
        <v>-0.89207530342264363</v>
      </c>
      <c r="Y57" s="148">
        <f t="shared" si="43"/>
        <v>-628.49500772089004</v>
      </c>
      <c r="Z57" s="149">
        <f t="shared" ca="1" si="44"/>
        <v>-38911584.421916448</v>
      </c>
      <c r="AA57" s="149">
        <f t="shared" ca="1" si="45"/>
        <v>-183321274.27314404</v>
      </c>
      <c r="AB57" s="150">
        <f t="shared" ca="1" si="46"/>
        <v>0.10436299708590373</v>
      </c>
      <c r="AC57" s="149">
        <f t="shared" ca="1" si="47"/>
        <v>-11427.19374709252</v>
      </c>
      <c r="AD57" s="149">
        <f t="shared" ca="1" si="48"/>
        <v>-8050816.1079585385</v>
      </c>
      <c r="AE57" s="151">
        <f>IF(F57&gt;MarketData!$B$26,INDEX(MarketData!$B$26:$B$64,MATCH(F57,MarketData!$B$26:$B$64)),MarketData!$B$26)</f>
        <v>46021</v>
      </c>
      <c r="AF57" s="151">
        <f>IF(AE57&gt;MarketData!$B$26,INDEX(MarketData!$B$26:$B$64,MATCH(AE57,MarketData!$B$26:$B$64)+1),MarketData!$B$26)</f>
        <v>0</v>
      </c>
      <c r="AG57" s="169">
        <f>VLOOKUP(AE57,MarketData!$B$26:$D$43,3,0)/100</f>
        <v>6.5000000000000002E-2</v>
      </c>
      <c r="AH57" s="146">
        <f>IF(AF57=0,AG57,VLOOKUP(AF57,MarketData!$B$26:$D$43,3,0)/100)</f>
        <v>6.5000000000000002E-2</v>
      </c>
    </row>
    <row r="58" spans="2:34">
      <c r="B58" s="20">
        <f>'Summary Sheet'!$C$2</f>
        <v>46238</v>
      </c>
      <c r="C58" s="10">
        <v>0.2</v>
      </c>
      <c r="D58" s="138">
        <f t="shared" si="33"/>
        <v>92158.8</v>
      </c>
      <c r="E58" s="138">
        <f t="shared" si="34"/>
        <v>76800</v>
      </c>
      <c r="F58" s="20">
        <f t="shared" si="35"/>
        <v>47689</v>
      </c>
      <c r="G58" s="4" t="s">
        <v>29</v>
      </c>
      <c r="H58" s="139">
        <f t="shared" si="36"/>
        <v>2472.2250114581129</v>
      </c>
      <c r="I58" s="127">
        <f t="shared" si="37"/>
        <v>-0.13329796076595812</v>
      </c>
      <c r="J58" s="127">
        <f t="shared" si="49"/>
        <v>404.95626504648226</v>
      </c>
      <c r="K58" s="142">
        <f ca="1">'Summary Sheet'!$H$15*10000000/$J$36</f>
        <v>12809.6739179412</v>
      </c>
      <c r="L58" s="139">
        <f t="shared" ca="1" si="50"/>
        <v>5187357.706272807</v>
      </c>
      <c r="M58" s="139">
        <f t="shared" ca="1" si="38"/>
        <v>-1707.5034113384431</v>
      </c>
      <c r="N58" s="143">
        <f t="shared" si="51"/>
        <v>0.17100307000000001</v>
      </c>
      <c r="O58" s="143">
        <f t="shared" si="52"/>
        <v>3.4799999999999998E-2</v>
      </c>
      <c r="P58" s="144">
        <f t="shared" si="53"/>
        <v>3.4799999999999998E-2</v>
      </c>
      <c r="Q58" s="141" t="s">
        <v>199</v>
      </c>
      <c r="R58" s="144">
        <f>SUMIF(MarketData!$I$26:$I$1204,"&lt;"&amp;F58,MarketData!$J$26:$J$1204)/D58*365/(F58-B58)*(IF(G58="P",IF(U$26="O",'Pricing Params'!$M$2,1),IF(U$26="O",1,IF(U$26="OLD",1,'Pricing Params'!$M$2))))</f>
        <v>5.2364624517246628E-3</v>
      </c>
      <c r="S58" s="145">
        <f t="shared" si="39"/>
        <v>105832.22888074497</v>
      </c>
      <c r="T58" s="143">
        <f>VLOOKUP(F58,'Pricing Params'!B:C,2,0)</f>
        <v>0</v>
      </c>
      <c r="U58" s="145" t="s">
        <v>47</v>
      </c>
      <c r="V58" s="146">
        <f t="shared" si="40"/>
        <v>2.6825707490311428E-2</v>
      </c>
      <c r="W58" s="147">
        <f t="shared" si="41"/>
        <v>6.8498711698339321E-6</v>
      </c>
      <c r="X58" s="148">
        <f t="shared" si="42"/>
        <v>-0.9239631976288365</v>
      </c>
      <c r="Y58" s="148">
        <f t="shared" si="43"/>
        <v>-531.71002636972071</v>
      </c>
      <c r="Z58" s="149">
        <f t="shared" ca="1" si="44"/>
        <v>-31668396.248556875</v>
      </c>
      <c r="AA58" s="149">
        <f t="shared" ca="1" si="45"/>
        <v>-157361465.38485733</v>
      </c>
      <c r="AB58" s="150">
        <f t="shared" ca="1" si="46"/>
        <v>8.7744616065479092E-2</v>
      </c>
      <c r="AC58" s="149">
        <f t="shared" ca="1" si="47"/>
        <v>-11835.667273803658</v>
      </c>
      <c r="AD58" s="149">
        <f t="shared" ca="1" si="48"/>
        <v>-6811032.0566960387</v>
      </c>
      <c r="AE58" s="151">
        <f>IF(F58&gt;MarketData!$B$26,INDEX(MarketData!$B$26:$B$64,MATCH(F58,MarketData!$B$26:$B$64)),MarketData!$B$26)</f>
        <v>46021</v>
      </c>
      <c r="AF58" s="151">
        <f>IF(AE58&gt;MarketData!$B$26,INDEX(MarketData!$B$26:$B$64,MATCH(AE58,MarketData!$B$26:$B$64)+1),MarketData!$B$26)</f>
        <v>0</v>
      </c>
      <c r="AG58" s="169">
        <f>VLOOKUP(AE58,MarketData!$B$26:$D$43,3,0)/100</f>
        <v>6.5000000000000002E-2</v>
      </c>
      <c r="AH58" s="146">
        <f>IF(AF58=0,AG58,VLOOKUP(AF58,MarketData!$B$26:$D$43,3,0)/100)</f>
        <v>6.5000000000000002E-2</v>
      </c>
    </row>
    <row r="59" spans="2:34">
      <c r="B59" s="138"/>
      <c r="C59" s="10"/>
    </row>
    <row r="60" spans="2:34">
      <c r="B60" s="136" t="s">
        <v>171</v>
      </c>
    </row>
    <row r="61" spans="2:34">
      <c r="B61" s="4" t="s">
        <v>6</v>
      </c>
      <c r="C61" s="4" t="s">
        <v>211</v>
      </c>
      <c r="D61" s="4" t="s">
        <v>1</v>
      </c>
      <c r="E61" s="4" t="s">
        <v>4</v>
      </c>
      <c r="F61" s="4" t="s">
        <v>5</v>
      </c>
      <c r="G61" s="4" t="s">
        <v>13</v>
      </c>
      <c r="H61" s="4" t="s">
        <v>12</v>
      </c>
      <c r="I61" s="4" t="s">
        <v>8</v>
      </c>
      <c r="J61" s="4" t="s">
        <v>9</v>
      </c>
      <c r="K61" s="4" t="s">
        <v>22</v>
      </c>
      <c r="L61" s="4" t="s">
        <v>27</v>
      </c>
      <c r="M61" s="4" t="s">
        <v>23</v>
      </c>
      <c r="N61" s="141" t="s">
        <v>3</v>
      </c>
      <c r="O61" s="141" t="s">
        <v>2</v>
      </c>
      <c r="P61" s="141" t="s">
        <v>30</v>
      </c>
      <c r="Q61" s="141" t="s">
        <v>0</v>
      </c>
      <c r="R61" s="141" t="s">
        <v>20</v>
      </c>
      <c r="S61" s="141" t="s">
        <v>7</v>
      </c>
      <c r="T61" s="141" t="s">
        <v>39</v>
      </c>
      <c r="U61" s="141" t="s">
        <v>45</v>
      </c>
      <c r="V61" s="141" t="s">
        <v>14</v>
      </c>
      <c r="W61" s="141" t="s">
        <v>31</v>
      </c>
      <c r="X61" s="141" t="s">
        <v>11</v>
      </c>
      <c r="Y61" s="141" t="s">
        <v>10</v>
      </c>
      <c r="Z61" s="141" t="s">
        <v>24</v>
      </c>
      <c r="AA61" s="141" t="s">
        <v>25</v>
      </c>
      <c r="AB61" s="141" t="s">
        <v>32</v>
      </c>
      <c r="AC61" s="141" t="s">
        <v>26</v>
      </c>
      <c r="AD61" s="141" t="s">
        <v>28</v>
      </c>
      <c r="AE61" s="141" t="s">
        <v>33</v>
      </c>
      <c r="AF61" s="141" t="s">
        <v>34</v>
      </c>
      <c r="AG61" s="141" t="s">
        <v>35</v>
      </c>
      <c r="AH61" s="141" t="s">
        <v>36</v>
      </c>
    </row>
    <row r="62" spans="2:34">
      <c r="B62" s="20">
        <f>'Summary Sheet'!$C$2</f>
        <v>46238</v>
      </c>
      <c r="C62" s="10">
        <v>-0.5</v>
      </c>
      <c r="D62" s="138">
        <f>($C$2*(1+C62))*(1-6*$F$2*SQRT(2))</f>
        <v>35483.085129236722</v>
      </c>
      <c r="E62" s="138">
        <f t="shared" ref="E62:E76" si="54">$C$3</f>
        <v>76800</v>
      </c>
      <c r="F62" s="20">
        <f t="shared" ref="F62:F76" si="55">$C$4</f>
        <v>47689</v>
      </c>
      <c r="G62" s="4" t="s">
        <v>29</v>
      </c>
      <c r="H62" s="139">
        <f t="shared" ref="H62:H76" si="56">IF(G$26="C",D62*EXP(O62*(F62-B62)/365)*NORMDIST((LN(D62*EXP(O62*(F62-B62)/365)/E62)+0.5*N62*N62*(F62-B62)/365)/N62/SQRT((F62-B62)/365),0,1,TRUE)-E62*NORMDIST((LN(D62*EXP(O62*(F62-B62)/365)/E62)-0.5*N62*N62*(F62-B62)/365)/N62/SQRT((F62-B62)/365),0,1,TRUE),IF(G$26="P",-1*D62*EXP(O62*(F62-B62)/365)*NORMDIST((-1*LN(D62*EXP(O62*(F62-B62)/365)/E62)-0.5*N62*N62*(F62-B62)/365)/N62/SQRT((F62-B62)/365),0,1,TRUE)+E62*NORMDIST((-1*LN(D62*EXP(O62*(F62-B62)/365)/E62)+0.5*N62*N62*(F62-B62)/365)/N62/SQRT((F62-B62)/365),0,1,TRUE),0))*EXP(-1*P62*(F62-B62)/365)</f>
        <v>32010.740513367287</v>
      </c>
      <c r="I62" s="127">
        <f t="shared" ref="I62:I76" si="57">IF(G$26="C",(D62+0.5)*EXP(O62*(F62-B62)/365)*NORMDIST((LN((D62+0.5)*EXP(O62*(F62-B62)/365)/E62)+0.5*N62*N62*(F62-B62)/365)/N62/SQRT((F62-B62)/365),0,1,TRUE)-E62*NORMDIST((LN((D62+0.5)*EXP(O62*(F62-B62)/365)/E62)-0.5*N62*N62*(F62-B62)/365)/N62/SQRT((F62-B62)/365),0,1,TRUE),IF(G$26="P",-1*(D62+0.5)*EXP(O62*(F62-B62)/365)*NORMDIST((-1*LN((D62+0.5)*EXP(O62*(F62-B62)/365)/E62)-0.5*N62*N62*(F62-B62)/365)/N62/SQRT((F62-B62)/365),0,1,TRUE)+E62*NORMDIST((-1*LN((D62+0.5)*EXP(O62*(F62-B62)/365)/E62)+0.5*N62*N62*(F62-B62)/365)/N62/SQRT((F62-B62)/365),0,1,TRUE),0))*EXP(-1*P62*(F62-B62)/365)-IF(G$26="C",(D62-0.5)*EXP(O62*(F62-B62)/365)*NORMDIST((LN((D62-0.5)*EXP(O62*(F62-B62)/365)/E62)+0.5*N62*N62*(F62-B62)/365)/N62/SQRT((F62-B62)/365),0,1,TRUE)-E62*NORMDIST((LN((D62-0.5)*EXP(O62*(F62-B62)/365)/E62)-0.5*N62*N62*(F62-B62)/365)/N62/SQRT((F62-B62)/365),0,1,TRUE),IF(G$26="P",-1*(D62-0.5)*EXP(O62*(F62-B62)/365)*NORMDIST((-1*LN((D62-0.5)*EXP(O62*(F62-B62)/365)/E62)-0.5*N62*N62*(F62-B62)/365)/N62/SQRT((F62-B62)/365),0,1,TRUE)+E62*NORMDIST((-1*LN((D62-0.5)*EXP(O62*(F62-B62)/365)/E62)+0.5*N62*N62*(F62-B62)/365)/N62/SQRT((F62-B62)/365),0,1,TRUE),0))*EXP(-1*P62*(F62-B62)/365)</f>
        <v>-0.89867870066518662</v>
      </c>
      <c r="J62" s="127">
        <f t="shared" ref="J62:J76" si="58">IF(G62="C",D62*EXP(O62*(F62-B62)/365)*NORMDIST((LN(D62*EXP(O62*(F62-B62)/365)/E62)+0.5*(N62+1%)*(N62+1%)*(F62-B62)/365)/(N62+1%)/SQRT((F62-B62)/365),0,1,TRUE)-E62*NORMDIST((LN(D62*EXP(O62*(F62-B62)/365)/E62)-0.5*(N62+1%)*(N62+1%)*(F62-B62)/365)/(N62+1%)/SQRT((F62-B62)/365),0,1,TRUE),IF(G62="P",-1*D62*EXP(O62*(F62-B62)/365)*NORMDIST((-1*LN(D62*EXP(O62*(F62-B62)/365)/E62)-0.5*(N62+1%)*(N62+1%)*(F62-B62)/365)/(N62+1%)/SQRT((F62-B62)/365),0,1,TRUE)+E62*NORMDIST((-1*LN(D62*EXP(O62*(F62-B62)/365)/E62)+0.5*(N62+1%)*(N62+1%)*(F62-B62)/365)/(N62+1%)/SQRT((F62-B62)/365),0,1,TRUE),0))*EXP(-1*P62*(F62-B62)/365)-IF(G62="C",D62*EXP(O62*(F62-B62)/365)*NORMDIST((LN(D62*EXP(O62*(F62-B62)/365)/E62)+0.5*N62*N62*(F62-B62)/365)/N62/SQRT((F62-B62)/365),0,1,TRUE)-E62*NORMDIST((LN(D62*EXP(O62*(F62-B62)/365)/E62)-0.5*N62*N62*(F62-B62)/365)/N62/SQRT((F62-B62)/365),0,1,TRUE),IF(G62="P",-1*D62*EXP(O62*(F62-B62)/365)*NORMDIST((-1*LN(D62*EXP(O62*(F62-B62)/365)/E62)-0.5*N62*N62*(F62-B62)/365)/N62/SQRT((F62-B62)/365),0,1,TRUE)+E62*NORMDIST((-1*LN(D62*EXP(O62*(F62-B62)/365)/E62)+0.5*N62*N62*(F62-B62)/365)/N62/SQRT((F62-B62)/365),0,1,TRUE),0))*EXP(-1*P62*(F62-B62)/365)</f>
        <v>131.61208128607177</v>
      </c>
      <c r="K62" s="142">
        <f ca="1">'Summary Sheet'!$H$15*10000000/$J$36</f>
        <v>12809.6739179412</v>
      </c>
      <c r="L62" s="139">
        <f ca="1">K62*J62</f>
        <v>1685907.8449361506</v>
      </c>
      <c r="M62" s="139">
        <f t="shared" ref="M62:M76" ca="1" si="59">K62*I62</f>
        <v>-11511.781112520128</v>
      </c>
      <c r="N62" s="143">
        <f>$F$3*1.25</f>
        <v>0.21375383750000002</v>
      </c>
      <c r="O62" s="143">
        <f>$L$2</f>
        <v>3.4799999999999998E-2</v>
      </c>
      <c r="P62" s="144">
        <f>$L$3</f>
        <v>3.4799999999999998E-2</v>
      </c>
      <c r="Q62" s="141" t="s">
        <v>199</v>
      </c>
      <c r="R62" s="144">
        <f>SUMIF(MarketData!$I$26:$I$1204,"&lt;"&amp;F62,MarketData!$J$26:$J$1204)/D62*365/(F62-B62)*(IF(G$26="P",IF(U$26="O",'Pricing Params'!$M$2,1),IF(U$26="O",1,IF(U$26="OLD",1,'Pricing Params'!$M$2))))</f>
        <v>1.3600454809335904E-2</v>
      </c>
      <c r="S62" s="145">
        <f t="shared" ref="S62:S76" si="60">EXP(O62*(F62-B62)/365)*D62</f>
        <v>40747.644140248558</v>
      </c>
      <c r="T62" s="143">
        <f>VLOOKUP(F62,'Pricing Params'!B:C,2,0)</f>
        <v>0</v>
      </c>
      <c r="U62" s="145" t="s">
        <v>47</v>
      </c>
      <c r="V62" s="146">
        <f t="shared" ref="V62:V76" si="61">H62/D62</f>
        <v>0.90214084814715412</v>
      </c>
      <c r="W62" s="147">
        <f t="shared" ref="W62:W76" si="62">IF(G62="C",(D62+1)*EXP(O62*(F62-B62)/365)*NORMDIST((LN((D62+1)*EXP(O62*(F62-B62)/365)/E62)+0.5*N62*N62*(F62-B62)/365)/N62/SQRT((F62-B62)/365),0,1,TRUE)-E62*NORMDIST((LN((D62+1)*EXP(O62*(F62-B62)/365)/E62)-0.5*N62*N62*(F62-B62)/365)/N62/SQRT((F62-B62)/365),0,1,TRUE),IF(G62="P",-1*(D62+1)*EXP(O62*(F62-B62)/365)*NORMDIST((-1*LN((D62+1)*EXP(O62*(F62-B62)/365)/E62)-0.5*N62*N62*(F62-B62)/365)/N62/SQRT((F62-B62)/365),0,1,TRUE)+E62*NORMDIST((-1*LN((D62+1)*EXP(O62*(F62-B62)/365)/E62)+0.5*N62*N62*(F62-B62)/365)/N62/SQRT((F62-B62)/365),0,1,TRUE),0))*EXP(-1*P62*(F62-B62)/365)+IF(G62="C",(D62-1)*EXP(O62*(F62-B62)/365)*NORMDIST((LN((D62-1)*EXP(O62*(F62-B62)/365)/E62)+0.5*N62*N62*(F62-B62)/365)/N62/SQRT((F62-B62)/365),0,1,TRUE)-E62*NORMDIST((LN((D62-1)*EXP(O62*(F62-B62)/365)/E62)-0.5*N62*N62*(F62-B62)/365)/N62/SQRT((F62-B62)/365),0,1,TRUE),IF(G62="P",-1*(D62-1)*EXP(O62*(F62-B62)/365)*NORMDIST((-1*LN((D62-1)*EXP(O62*(F62-B62)/365)/E62)-0.5*N62*N62*(F62-B62)/365)/N62/SQRT((F62-B62)/365),0,1,TRUE)+E62*NORMDIST((-1*LN((D62-1)*EXP(O62*(F62-B62)/365)/E62)+0.5*N62*N62*(F62-B62)/365)/N62/SQRT((F62-B62)/365),0,1,TRUE),0))*EXP(-1*P62*(F62-B62)/365)-2*IF(G62="C",D62*EXP(O62*(F62-B62)/365)*NORMDIST((LN(D62*EXP(O62*(F62-B62)/365)/E62)+0.5*N62*N62*(F62-B62)/365)/N62/SQRT((F62-B62)/365),0,1,TRUE)-E62*NORMDIST((LN(D62*EXP(O62*(F62-B62)/365)/E62)-0.5*N62*N62*(F62-B62)/365)/N62/SQRT((F62-B62)/365),0,1,TRUE),IF(G62="P",-1*D62*EXP(O62*(F62-B62)/365)*NORMDIST((-1*LN(D62*EXP(O62*(F62-B62)/365)/E62)-0.5*N62*N62*(F62-B62)/365)/N62/SQRT((F62-B62)/365),0,1,TRUE)+E62*NORMDIST((-1*LN(D62*EXP(O62*(F62-B62)/365)/E62)+0.5*N62*N62*(F62-B62)/365)/N62/SQRT((F62-B62)/365),0,1,TRUE),0))*EXP(-1*P62*(F62-B62)/365)</f>
        <v>1.1716787412296981E-5</v>
      </c>
      <c r="X62" s="148">
        <f t="shared" ref="X62:X76" si="63">IF(G62="C",D62*EXP(O62*(F62-B62-1)/365)*NORMDIST((LN(D62*EXP(O62*(F62-B62-1)/365)/E62)+0.5*N62*N62*(F62-B62-1)/365)/N62/SQRT((F62-B62-1)/365),0,1,TRUE)-E62*NORMDIST((LN(D62*EXP(O62*(F62-B62-1)/365)/E62)-0.5*N62*N62*(F62-B62-1)/365)/N62/SQRT((F62-B62-1)/365),0,1,TRUE),IF(G62="P",-1*D62*EXP(O62*(F62-B62-1)/365)*NORMDIST((-1*LN(D62*EXP(O62*(F62-B62-1)/365)/E62)-0.5*N62*N62*(F62-B62-1)/365)/N62/SQRT((F62-B62-1)/365),0,1,TRUE)+E62*NORMDIST((-1*LN(D62*EXP(O62*(F62-B62-1)/365)/E62)+0.5*N62*N62*(F62-B62-1)/365)/N62/SQRT((F62-B62-1)/365),0,1,TRUE),0))*EXP(-1*P62*(F62-B62-1)/365)-IF(G62="C",D62*EXP(O62*(F62-B62)/365)*NORMDIST((LN(D62*EXP(O62*(F62-B62)/365)/E62)+0.5*N62*N62*(F62-B62)/365)/N62/SQRT((F62-B62)/365),0,1,TRUE)-E62*NORMDIST((LN(D62*EXP(O62*(F62-B62)/365)/E62)-0.5*N62*N62*(F62-B62)/365)/N62/SQRT((F62-B62)/365),0,1,TRUE),IF(G62="P",-1*D62*EXP(O62*(F62-B62)/365)*NORMDIST((-1*LN(D62*EXP(O62*(F62-B62)/365)/E62)-0.5*N62*N62*(F62-B62)/365)/N62/SQRT((F62-B62)/365),0,1,TRUE)+E62*NORMDIST((-1*LN(D62*EXP(O62*(F62-B62)/365)/E62)+0.5*N62*N62*(F62-B62)/365)/N62/SQRT((F62-B62)/365),0,1,TRUE),0))*EXP(-1*P62*(F62-B62)/365)</f>
        <v>5.1697310603158257</v>
      </c>
      <c r="Y62" s="148">
        <f t="shared" ref="Y62:Y76" si="64">IF(G62="C",D62*EXP((O62+1%)*(F62-B62)/365)*NORMDIST((LN(D62*EXP((O62+1%)*(F62-B62)/365)/E62)+0.5*N62*N62*(F62-B62)/365)/N62/SQRT((F62-B62)/365),0,1,TRUE)-E62*NORMDIST((LN(D62*EXP((O62+1%)*(F62-B62)/365)/E62)-0.5*N62*N62*(F62-B62)/365)/N62/SQRT((F62-B62)/365),0,1,TRUE),IF(G62="P",-1*D62*EXP((O62+1%)*(F62-B62)/365)*NORMDIST((-1*LN(D62*EXP((O62+1%)*(F62-B62)/365)/E62)-0.5*N62*N62*(F62-B62)/365)/N62/SQRT((F62-B62)/365),0,1,TRUE)+E62*NORMDIST((-1*LN(D62*EXP((O62+1%)*(F62-B62)/365)/E62)+0.5*N62*N62*(F62-B62)/365)/N62/SQRT((F62-B62)/365),0,1,TRUE),0))*EXP(-1*(P62+1%)*(F62-B62)/365)-IF(G62="C",D62*EXP(O62*(F62-B62)/365)*NORMDIST((LN(D62*EXP(O62*(F62-B62)/365)/E62)+0.5*N62*N62*(F62-B62)/365)/N62/SQRT((F62-B62)/365),0,1,TRUE)-E62*NORMDIST((LN(D62*EXP(O62*(F62-B62)/365)/E62)-0.5*N62*N62*(F62-B62)/365)/N62/SQRT((F62-B62)/365),0,1,TRUE),IF(G62="P",-1*D62*EXP(O62*(F62-B62)/365)*NORMDIST((-1*LN(D62*EXP(O62*(F62-B62)/365)/E62)-0.5*N62*N62*(F62-B62)/365)/N62/SQRT((F62-B62)/365),0,1,TRUE)+E62*NORMDIST((-1*LN(D62*EXP(O62*(F62-B62)/365)/E62)+0.5*N62*N62*(F62-B62)/365)/N62/SQRT((F62-B62)/365),0,1,TRUE),0))*EXP(-1*P62*(F62-B62)/365)</f>
        <v>-2478.3955894208266</v>
      </c>
      <c r="Z62" s="149">
        <f t="shared" ref="Z62:Z76" ca="1" si="65">K62*H62*-1</f>
        <v>-410047147.84806466</v>
      </c>
      <c r="AA62" s="149">
        <f t="shared" ref="AA62:AA76" ca="1" si="66">I62*D62*K62</f>
        <v>-408473509.20469111</v>
      </c>
      <c r="AB62" s="150">
        <f t="shared" ref="AB62:AB76" ca="1" si="67">K62*W62</f>
        <v>0.15008822611736239</v>
      </c>
      <c r="AC62" s="149">
        <f t="shared" ref="AC62:AC76" ca="1" si="68">X62*K62</f>
        <v>66222.56912609814</v>
      </c>
      <c r="AD62" s="149">
        <f t="shared" ref="AD62:AD76" ca="1" si="69">Y62*K62</f>
        <v>-31747439.34014447</v>
      </c>
      <c r="AE62" s="151">
        <f>IF(F62&gt;MarketData!$B$26,INDEX(MarketData!$B$26:$B$64,MATCH(F62,MarketData!$B$26:$B$64)),MarketData!$B$26)</f>
        <v>46021</v>
      </c>
      <c r="AF62" s="151">
        <f>IF(AE62&gt;MarketData!$B$26,INDEX(MarketData!$B$26:$B$64,MATCH(AE62,MarketData!$B$26:$B$64)+1),MarketData!$B$26)</f>
        <v>0</v>
      </c>
      <c r="AG62" s="169">
        <f>VLOOKUP(AE62,MarketData!$B$26:$D$43,3,0)/100</f>
        <v>6.5000000000000002E-2</v>
      </c>
      <c r="AH62" s="146">
        <f>IF(AF62=0,AG62,VLOOKUP(AF62,MarketData!$B$26:$D$43,3,0)/100)</f>
        <v>6.5000000000000002E-2</v>
      </c>
    </row>
    <row r="63" spans="2:34">
      <c r="B63" s="20">
        <f>'Summary Sheet'!$C$2</f>
        <v>46238</v>
      </c>
      <c r="C63" s="10">
        <v>-0.45</v>
      </c>
      <c r="D63" s="138">
        <f t="shared" ref="D63:D76" si="70">($C$2*(1+C63))*(1-6*$F$2*SQRT(2))</f>
        <v>39031.393642160401</v>
      </c>
      <c r="E63" s="138">
        <f t="shared" si="54"/>
        <v>76800</v>
      </c>
      <c r="F63" s="20">
        <f t="shared" si="55"/>
        <v>47689</v>
      </c>
      <c r="G63" s="4" t="s">
        <v>29</v>
      </c>
      <c r="H63" s="139">
        <f t="shared" si="56"/>
        <v>28900.36707993285</v>
      </c>
      <c r="I63" s="127">
        <f t="shared" si="57"/>
        <v>-0.85323853146110196</v>
      </c>
      <c r="J63" s="127">
        <f t="shared" si="58"/>
        <v>185.14858415008712</v>
      </c>
      <c r="K63" s="142">
        <f ca="1">'Summary Sheet'!$H$15*10000000/$J$36</f>
        <v>12809.6739179412</v>
      </c>
      <c r="L63" s="139">
        <f t="shared" ref="L63:L76" ca="1" si="71">K63*J63</f>
        <v>2371692.9893311122</v>
      </c>
      <c r="M63" s="139">
        <f t="shared" ca="1" si="59"/>
        <v>-10929.707362239729</v>
      </c>
      <c r="N63" s="143">
        <f>$F$3*1.25</f>
        <v>0.21375383750000002</v>
      </c>
      <c r="O63" s="143">
        <f t="shared" ref="O63:O76" si="72">$L$2</f>
        <v>3.4799999999999998E-2</v>
      </c>
      <c r="P63" s="144">
        <f t="shared" ref="P63:P76" si="73">$L$3</f>
        <v>3.4799999999999998E-2</v>
      </c>
      <c r="Q63" s="141" t="s">
        <v>199</v>
      </c>
      <c r="R63" s="144">
        <f>SUMIF(MarketData!$I$26:$I$1204,"&lt;"&amp;F63,MarketData!$J$26:$J$1204)/D63*365/(F63-B63)*(IF(G$26="P",IF(U$26="O",'Pricing Params'!$M$2,1),IF(U$26="O",1,IF(U$26="OLD",1,'Pricing Params'!$M$2))))</f>
        <v>1.2364049826669001E-2</v>
      </c>
      <c r="S63" s="145">
        <f t="shared" si="60"/>
        <v>44822.408554273425</v>
      </c>
      <c r="T63" s="143">
        <f>VLOOKUP(F63,'Pricing Params'!B:C,2,0)</f>
        <v>0</v>
      </c>
      <c r="U63" s="145" t="s">
        <v>47</v>
      </c>
      <c r="V63" s="146">
        <f t="shared" si="61"/>
        <v>0.74043902569534803</v>
      </c>
      <c r="W63" s="147">
        <f t="shared" si="62"/>
        <v>1.3813267287332565E-5</v>
      </c>
      <c r="X63" s="148">
        <f t="shared" si="63"/>
        <v>4.6143116840867151</v>
      </c>
      <c r="Y63" s="148">
        <f t="shared" si="64"/>
        <v>-2407.3456789533739</v>
      </c>
      <c r="Z63" s="149">
        <f t="shared" ca="1" si="65"/>
        <v>-370204278.40274233</v>
      </c>
      <c r="AA63" s="149">
        <f t="shared" ca="1" si="66"/>
        <v>-426601710.44919753</v>
      </c>
      <c r="AB63" s="150">
        <f t="shared" ca="1" si="67"/>
        <v>0.17694344969209433</v>
      </c>
      <c r="AC63" s="149">
        <f t="shared" ca="1" si="68"/>
        <v>59107.828028896925</v>
      </c>
      <c r="AD63" s="149">
        <f t="shared" ca="1" si="69"/>
        <v>-30837313.15515748</v>
      </c>
      <c r="AE63" s="151">
        <f>IF(F63&gt;MarketData!$B$26,INDEX(MarketData!$B$26:$B$64,MATCH(F63,MarketData!$B$26:$B$64)),MarketData!$B$26)</f>
        <v>46021</v>
      </c>
      <c r="AF63" s="151">
        <f>IF(AE63&gt;MarketData!$B$26,INDEX(MarketData!$B$26:$B$64,MATCH(AE63,MarketData!$B$26:$B$64)+1),MarketData!$B$26)</f>
        <v>0</v>
      </c>
      <c r="AG63" s="169">
        <f>VLOOKUP(AE63,MarketData!$B$26:$D$43,3,0)/100</f>
        <v>6.5000000000000002E-2</v>
      </c>
      <c r="AH63" s="146">
        <f>IF(AF63=0,AG63,VLOOKUP(AF63,MarketData!$B$26:$D$43,3,0)/100)</f>
        <v>6.5000000000000002E-2</v>
      </c>
    </row>
    <row r="64" spans="2:34">
      <c r="B64" s="20">
        <f>'Summary Sheet'!$C$2</f>
        <v>46238</v>
      </c>
      <c r="C64" s="10">
        <v>-0.4</v>
      </c>
      <c r="D64" s="138">
        <f t="shared" si="70"/>
        <v>42579.702155084073</v>
      </c>
      <c r="E64" s="138">
        <f t="shared" si="54"/>
        <v>76800</v>
      </c>
      <c r="F64" s="20">
        <f t="shared" si="55"/>
        <v>47689</v>
      </c>
      <c r="G64" s="4" t="s">
        <v>29</v>
      </c>
      <c r="H64" s="139">
        <f t="shared" si="56"/>
        <v>25963.33501227868</v>
      </c>
      <c r="I64" s="127">
        <f t="shared" si="57"/>
        <v>-0.80129687700173235</v>
      </c>
      <c r="J64" s="127">
        <f t="shared" si="58"/>
        <v>242.52131601746078</v>
      </c>
      <c r="K64" s="142">
        <f ca="1">'Summary Sheet'!$H$15*10000000/$J$36</f>
        <v>12809.6739179412</v>
      </c>
      <c r="L64" s="139">
        <f t="shared" ca="1" si="71"/>
        <v>3106618.9763336428</v>
      </c>
      <c r="M64" s="139">
        <f t="shared" ca="1" si="59"/>
        <v>-10264.351705856829</v>
      </c>
      <c r="N64" s="143">
        <f>$F$3*1.25</f>
        <v>0.21375383750000002</v>
      </c>
      <c r="O64" s="143">
        <f t="shared" si="72"/>
        <v>3.4799999999999998E-2</v>
      </c>
      <c r="P64" s="144">
        <f t="shared" si="73"/>
        <v>3.4799999999999998E-2</v>
      </c>
      <c r="Q64" s="141" t="s">
        <v>199</v>
      </c>
      <c r="R64" s="144">
        <f>SUMIF(MarketData!$I$26:$I$1204,"&lt;"&amp;F64,MarketData!$J$26:$J$1204)/D64*365/(F64-B64)*(IF(G$26="P",IF(U$26="O",'Pricing Params'!$M$2,1),IF(U$26="O",1,IF(U$26="OLD",1,'Pricing Params'!$M$2))))</f>
        <v>1.1333712341113251E-2</v>
      </c>
      <c r="S64" s="145">
        <f t="shared" si="60"/>
        <v>48897.172968298277</v>
      </c>
      <c r="T64" s="143">
        <f>VLOOKUP(F64,'Pricing Params'!B:C,2,0)</f>
        <v>0</v>
      </c>
      <c r="U64" s="145" t="s">
        <v>47</v>
      </c>
      <c r="V64" s="146">
        <f t="shared" si="61"/>
        <v>0.6097584928545261</v>
      </c>
      <c r="W64" s="147">
        <f t="shared" si="62"/>
        <v>1.5367186279036105E-5</v>
      </c>
      <c r="X64" s="148">
        <f t="shared" si="63"/>
        <v>3.9853192166920053</v>
      </c>
      <c r="Y64" s="148">
        <f t="shared" si="64"/>
        <v>-2319.3310697735287</v>
      </c>
      <c r="Z64" s="149">
        <f t="shared" ca="1" si="65"/>
        <v>-332581855.32955575</v>
      </c>
      <c r="AA64" s="149">
        <f t="shared" ca="1" si="66"/>
        <v>-437053038.45041287</v>
      </c>
      <c r="AB64" s="150">
        <f t="shared" ca="1" si="67"/>
        <v>0.19684864527071266</v>
      </c>
      <c r="AC64" s="149">
        <f t="shared" ca="1" si="68"/>
        <v>51050.639624729432</v>
      </c>
      <c r="AD64" s="149">
        <f t="shared" ca="1" si="69"/>
        <v>-29709874.71154863</v>
      </c>
      <c r="AE64" s="151">
        <f>IF(F64&gt;MarketData!$B$26,INDEX(MarketData!$B$26:$B$64,MATCH(F64,MarketData!$B$26:$B$64)),MarketData!$B$26)</f>
        <v>46021</v>
      </c>
      <c r="AF64" s="151">
        <f>IF(AE64&gt;MarketData!$B$26,INDEX(MarketData!$B$26:$B$64,MATCH(AE64,MarketData!$B$26:$B$64)+1),MarketData!$B$26)</f>
        <v>0</v>
      </c>
      <c r="AG64" s="169">
        <f>VLOOKUP(AE64,MarketData!$B$26:$D$43,3,0)/100</f>
        <v>6.5000000000000002E-2</v>
      </c>
      <c r="AH64" s="146">
        <f>IF(AF64=0,AG64,VLOOKUP(AF64,MarketData!$B$26:$D$43,3,0)/100)</f>
        <v>6.5000000000000002E-2</v>
      </c>
    </row>
    <row r="65" spans="2:34">
      <c r="B65" s="20">
        <f>'Summary Sheet'!$C$2</f>
        <v>46238</v>
      </c>
      <c r="C65" s="10">
        <v>-0.35</v>
      </c>
      <c r="D65" s="138">
        <f t="shared" si="70"/>
        <v>46128.010668007744</v>
      </c>
      <c r="E65" s="138">
        <f t="shared" si="54"/>
        <v>76800</v>
      </c>
      <c r="F65" s="20">
        <f t="shared" si="55"/>
        <v>47689</v>
      </c>
      <c r="G65" s="4" t="s">
        <v>29</v>
      </c>
      <c r="H65" s="139">
        <f t="shared" si="56"/>
        <v>23219.167699304024</v>
      </c>
      <c r="I65" s="127">
        <f t="shared" si="57"/>
        <v>-0.74487608027266106</v>
      </c>
      <c r="J65" s="127">
        <f t="shared" si="58"/>
        <v>300.14872966972325</v>
      </c>
      <c r="K65" s="142">
        <f ca="1">'Summary Sheet'!$H$15*10000000/$J$36</f>
        <v>12809.6739179412</v>
      </c>
      <c r="L65" s="139">
        <f t="shared" ca="1" si="71"/>
        <v>3844807.3539534379</v>
      </c>
      <c r="M65" s="139">
        <f t="shared" ca="1" si="59"/>
        <v>-9541.6196975669809</v>
      </c>
      <c r="N65" s="143">
        <f t="shared" ref="N65:N76" si="74">$F$3*1.25</f>
        <v>0.21375383750000002</v>
      </c>
      <c r="O65" s="143">
        <f t="shared" si="72"/>
        <v>3.4799999999999998E-2</v>
      </c>
      <c r="P65" s="144">
        <f t="shared" si="73"/>
        <v>3.4799999999999998E-2</v>
      </c>
      <c r="Q65" s="141" t="s">
        <v>199</v>
      </c>
      <c r="R65" s="144">
        <f>SUMIF(MarketData!$I$26:$I$1204,"&lt;"&amp;F65,MarketData!$J$26:$J$1204)/D65*365/(F65-B65)*(IF(G$26="P",IF(U$26="O",'Pricing Params'!$M$2,1),IF(U$26="O",1,IF(U$26="OLD",1,'Pricing Params'!$M$2))))</f>
        <v>1.0461888314873772E-2</v>
      </c>
      <c r="S65" s="145">
        <f t="shared" si="60"/>
        <v>52971.937382323129</v>
      </c>
      <c r="T65" s="143">
        <f>VLOOKUP(F65,'Pricing Params'!B:C,2,0)</f>
        <v>0</v>
      </c>
      <c r="U65" s="145" t="s">
        <v>47</v>
      </c>
      <c r="V65" s="146">
        <f t="shared" si="61"/>
        <v>0.50336373416180646</v>
      </c>
      <c r="W65" s="147">
        <f t="shared" si="62"/>
        <v>1.6337944543920457E-5</v>
      </c>
      <c r="X65" s="148">
        <f t="shared" si="63"/>
        <v>3.3144722695469682</v>
      </c>
      <c r="Y65" s="148">
        <f t="shared" si="64"/>
        <v>-2216.4014573464192</v>
      </c>
      <c r="Z65" s="149">
        <f t="shared" ca="1" si="65"/>
        <v>-297429966.8740775</v>
      </c>
      <c r="AA65" s="149">
        <f t="shared" ca="1" si="66"/>
        <v>-440135935.19944257</v>
      </c>
      <c r="AB65" s="150">
        <f t="shared" ca="1" si="67"/>
        <v>0.2092837420970276</v>
      </c>
      <c r="AC65" s="149">
        <f t="shared" ca="1" si="68"/>
        <v>42457.308982955175</v>
      </c>
      <c r="AD65" s="149">
        <f t="shared" ca="1" si="69"/>
        <v>-28391379.939857289</v>
      </c>
      <c r="AE65" s="151">
        <f>IF(F65&gt;MarketData!$B$26,INDEX(MarketData!$B$26:$B$64,MATCH(F65,MarketData!$B$26:$B$64)),MarketData!$B$26)</f>
        <v>46021</v>
      </c>
      <c r="AF65" s="151">
        <f>IF(AE65&gt;MarketData!$B$26,INDEX(MarketData!$B$26:$B$64,MATCH(AE65,MarketData!$B$26:$B$64)+1),MarketData!$B$26)</f>
        <v>0</v>
      </c>
      <c r="AG65" s="169">
        <f>VLOOKUP(AE65,MarketData!$B$26:$D$43,3,0)/100</f>
        <v>6.5000000000000002E-2</v>
      </c>
      <c r="AH65" s="146">
        <f>IF(AF65=0,AG65,VLOOKUP(AF65,MarketData!$B$26:$D$43,3,0)/100)</f>
        <v>6.5000000000000002E-2</v>
      </c>
    </row>
    <row r="66" spans="2:34">
      <c r="B66" s="20">
        <f>'Summary Sheet'!$C$2</f>
        <v>46238</v>
      </c>
      <c r="C66" s="10">
        <v>-0.3</v>
      </c>
      <c r="D66" s="138">
        <f t="shared" si="70"/>
        <v>49676.319180931408</v>
      </c>
      <c r="E66" s="138">
        <f t="shared" si="54"/>
        <v>76800</v>
      </c>
      <c r="F66" s="20">
        <f t="shared" si="55"/>
        <v>47689</v>
      </c>
      <c r="G66" s="4" t="s">
        <v>29</v>
      </c>
      <c r="H66" s="139">
        <f t="shared" si="56"/>
        <v>20680.121358062876</v>
      </c>
      <c r="I66" s="127">
        <f t="shared" si="57"/>
        <v>-0.68600794707526802</v>
      </c>
      <c r="J66" s="127">
        <f t="shared" si="58"/>
        <v>354.8307978947123</v>
      </c>
      <c r="K66" s="142">
        <f ca="1">'Summary Sheet'!$H$15*10000000/$J$36</f>
        <v>12809.6739179412</v>
      </c>
      <c r="L66" s="139">
        <f t="shared" ca="1" si="71"/>
        <v>4545266.817074161</v>
      </c>
      <c r="M66" s="139">
        <f t="shared" ca="1" si="59"/>
        <v>-8787.5381071504471</v>
      </c>
      <c r="N66" s="143">
        <f t="shared" si="74"/>
        <v>0.21375383750000002</v>
      </c>
      <c r="O66" s="143">
        <f t="shared" si="72"/>
        <v>3.4799999999999998E-2</v>
      </c>
      <c r="P66" s="144">
        <f t="shared" si="73"/>
        <v>3.4799999999999998E-2</v>
      </c>
      <c r="Q66" s="141" t="s">
        <v>199</v>
      </c>
      <c r="R66" s="144">
        <f>SUMIF(MarketData!$I$26:$I$1204,"&lt;"&amp;F66,MarketData!$J$26:$J$1204)/D66*365/(F66-B66)*(IF(G$26="P",IF(U$26="O",'Pricing Params'!$M$2,1),IF(U$26="O",1,IF(U$26="OLD",1,'Pricing Params'!$M$2))))</f>
        <v>9.7146105780970757E-3</v>
      </c>
      <c r="S66" s="145">
        <f t="shared" si="60"/>
        <v>57046.701796347981</v>
      </c>
      <c r="T66" s="143">
        <f>VLOOKUP(F66,'Pricing Params'!B:C,2,0)</f>
        <v>0</v>
      </c>
      <c r="U66" s="145" t="s">
        <v>47</v>
      </c>
      <c r="V66" s="146">
        <f t="shared" si="61"/>
        <v>0.41629737667844519</v>
      </c>
      <c r="W66" s="147">
        <f t="shared" si="62"/>
        <v>1.675607927609235E-5</v>
      </c>
      <c r="X66" s="148">
        <f t="shared" si="63"/>
        <v>2.633205410449591</v>
      </c>
      <c r="Y66" s="148">
        <f t="shared" si="64"/>
        <v>-2101.4228454506192</v>
      </c>
      <c r="Z66" s="149">
        <f t="shared" ca="1" si="65"/>
        <v>-264905611.18023676</v>
      </c>
      <c r="AA66" s="149">
        <f t="shared" ca="1" si="66"/>
        <v>-436532547.82540351</v>
      </c>
      <c r="AB66" s="150">
        <f t="shared" ca="1" si="67"/>
        <v>0.21463991166991525</v>
      </c>
      <c r="AC66" s="149">
        <f t="shared" ca="1" si="68"/>
        <v>33730.502666817774</v>
      </c>
      <c r="AD66" s="149">
        <f t="shared" ca="1" si="69"/>
        <v>-26918541.413934577</v>
      </c>
      <c r="AE66" s="151">
        <f>IF(F66&gt;MarketData!$B$26,INDEX(MarketData!$B$26:$B$64,MATCH(F66,MarketData!$B$26:$B$64)),MarketData!$B$26)</f>
        <v>46021</v>
      </c>
      <c r="AF66" s="151">
        <f>IF(AE66&gt;MarketData!$B$26,INDEX(MarketData!$B$26:$B$64,MATCH(AE66,MarketData!$B$26:$B$64)+1),MarketData!$B$26)</f>
        <v>0</v>
      </c>
      <c r="AG66" s="169">
        <f>VLOOKUP(AE66,MarketData!$B$26:$D$43,3,0)/100</f>
        <v>6.5000000000000002E-2</v>
      </c>
      <c r="AH66" s="146">
        <f>IF(AF66=0,AG66,VLOOKUP(AF66,MarketData!$B$26:$D$43,3,0)/100)</f>
        <v>6.5000000000000002E-2</v>
      </c>
    </row>
    <row r="67" spans="2:34">
      <c r="B67" s="20">
        <f>'Summary Sheet'!$C$2</f>
        <v>46238</v>
      </c>
      <c r="C67" s="10">
        <v>-0.25</v>
      </c>
      <c r="D67" s="138">
        <f t="shared" si="70"/>
        <v>53224.627693855087</v>
      </c>
      <c r="E67" s="138">
        <f t="shared" si="54"/>
        <v>76800</v>
      </c>
      <c r="F67" s="20">
        <f t="shared" si="55"/>
        <v>47689</v>
      </c>
      <c r="G67" s="4" t="s">
        <v>29</v>
      </c>
      <c r="H67" s="139">
        <f t="shared" si="56"/>
        <v>18351.538512125357</v>
      </c>
      <c r="I67" s="127">
        <f t="shared" si="57"/>
        <v>-0.62653215414320584</v>
      </c>
      <c r="J67" s="127">
        <f t="shared" si="58"/>
        <v>404.03500190007981</v>
      </c>
      <c r="K67" s="142">
        <f ca="1">'Summary Sheet'!$H$15*10000000/$J$36</f>
        <v>12809.6739179412</v>
      </c>
      <c r="L67" s="139">
        <f t="shared" ca="1" si="71"/>
        <v>5175556.6257747756</v>
      </c>
      <c r="M67" s="139">
        <f t="shared" ca="1" si="59"/>
        <v>-8025.6725936797393</v>
      </c>
      <c r="N67" s="143">
        <f t="shared" si="74"/>
        <v>0.21375383750000002</v>
      </c>
      <c r="O67" s="143">
        <f t="shared" si="72"/>
        <v>3.4799999999999998E-2</v>
      </c>
      <c r="P67" s="144">
        <f t="shared" si="73"/>
        <v>3.4799999999999998E-2</v>
      </c>
      <c r="Q67" s="141" t="s">
        <v>199</v>
      </c>
      <c r="R67" s="144">
        <f>SUMIF(MarketData!$I$26:$I$1204,"&lt;"&amp;F67,MarketData!$J$26:$J$1204)/D67*365/(F67-B67)*(IF(G$26="P",IF(U$26="O",'Pricing Params'!$M$2,1),IF(U$26="O",1,IF(U$26="OLD",1,'Pricing Params'!$M$2))))</f>
        <v>9.0669698728906012E-3</v>
      </c>
      <c r="S67" s="145">
        <f t="shared" si="60"/>
        <v>61121.466210372841</v>
      </c>
      <c r="T67" s="143">
        <f>VLOOKUP(F67,'Pricing Params'!B:C,2,0)</f>
        <v>0</v>
      </c>
      <c r="U67" s="145" t="s">
        <v>47</v>
      </c>
      <c r="V67" s="146">
        <f t="shared" si="61"/>
        <v>0.3447941170708102</v>
      </c>
      <c r="W67" s="147">
        <f t="shared" si="62"/>
        <v>1.669496123213321E-5</v>
      </c>
      <c r="X67" s="148">
        <f t="shared" si="63"/>
        <v>1.9691702566415188</v>
      </c>
      <c r="Y67" s="148">
        <f t="shared" si="64"/>
        <v>-1977.6501100446512</v>
      </c>
      <c r="Z67" s="149">
        <f t="shared" ca="1" si="65"/>
        <v>-235077224.23286563</v>
      </c>
      <c r="AA67" s="149">
        <f t="shared" ca="1" si="66"/>
        <v>-427163435.79138041</v>
      </c>
      <c r="AB67" s="150">
        <f t="shared" ca="1" si="67"/>
        <v>0.21385700945629627</v>
      </c>
      <c r="AC67" s="149">
        <f t="shared" ca="1" si="68"/>
        <v>25224.428876486443</v>
      </c>
      <c r="AD67" s="149">
        <f t="shared" ca="1" si="69"/>
        <v>-25333053.033452511</v>
      </c>
      <c r="AE67" s="151">
        <f>IF(F67&gt;MarketData!$B$26,INDEX(MarketData!$B$26:$B$64,MATCH(F67,MarketData!$B$26:$B$64)),MarketData!$B$26)</f>
        <v>46021</v>
      </c>
      <c r="AF67" s="151">
        <f>IF(AE67&gt;MarketData!$B$26,INDEX(MarketData!$B$26:$B$64,MATCH(AE67,MarketData!$B$26:$B$64)+1),MarketData!$B$26)</f>
        <v>0</v>
      </c>
      <c r="AG67" s="169">
        <f>VLOOKUP(AE67,MarketData!$B$26:$D$43,3,0)/100</f>
        <v>6.5000000000000002E-2</v>
      </c>
      <c r="AH67" s="146">
        <f>IF(AF67=0,AG67,VLOOKUP(AF67,MarketData!$B$26:$D$43,3,0)/100)</f>
        <v>6.5000000000000002E-2</v>
      </c>
    </row>
    <row r="68" spans="2:34">
      <c r="B68" s="20">
        <f>'Summary Sheet'!$C$2</f>
        <v>46238</v>
      </c>
      <c r="C68" s="10">
        <v>-0.2</v>
      </c>
      <c r="D68" s="138">
        <f t="shared" si="70"/>
        <v>56772.936206778766</v>
      </c>
      <c r="E68" s="138">
        <f t="shared" si="54"/>
        <v>76800</v>
      </c>
      <c r="F68" s="20">
        <f t="shared" si="55"/>
        <v>47689</v>
      </c>
      <c r="G68" s="4" t="s">
        <v>29</v>
      </c>
      <c r="H68" s="139">
        <f t="shared" si="56"/>
        <v>16232.748714404081</v>
      </c>
      <c r="I68" s="127">
        <f t="shared" si="57"/>
        <v>-0.56798658593652362</v>
      </c>
      <c r="J68" s="127">
        <f t="shared" si="58"/>
        <v>446.00107728589319</v>
      </c>
      <c r="K68" s="142">
        <f ca="1">'Summary Sheet'!$H$15*10000000/$J$36</f>
        <v>12809.6739179412</v>
      </c>
      <c r="L68" s="139">
        <f t="shared" ca="1" si="71"/>
        <v>5713128.367082783</v>
      </c>
      <c r="M68" s="139">
        <f t="shared" ca="1" si="59"/>
        <v>-7275.7229556115544</v>
      </c>
      <c r="N68" s="143">
        <f t="shared" si="74"/>
        <v>0.21375383750000002</v>
      </c>
      <c r="O68" s="143">
        <f t="shared" si="72"/>
        <v>3.4799999999999998E-2</v>
      </c>
      <c r="P68" s="144">
        <f t="shared" si="73"/>
        <v>3.4799999999999998E-2</v>
      </c>
      <c r="Q68" s="141" t="s">
        <v>199</v>
      </c>
      <c r="R68" s="144">
        <f>SUMIF(MarketData!$I$26:$I$1204,"&lt;"&amp;F68,MarketData!$J$26:$J$1204)/D68*365/(F68-B68)*(IF(G$26="P",IF(U$26="O",'Pricing Params'!$M$2,1),IF(U$26="O",1,IF(U$26="OLD",1,'Pricing Params'!$M$2))))</f>
        <v>8.5002842558349386E-3</v>
      </c>
      <c r="S68" s="145">
        <f t="shared" si="60"/>
        <v>65196.230624397707</v>
      </c>
      <c r="T68" s="143">
        <f>VLOOKUP(F68,'Pricing Params'!B:C,2,0)</f>
        <v>0</v>
      </c>
      <c r="U68" s="145" t="s">
        <v>47</v>
      </c>
      <c r="V68" s="146">
        <f t="shared" si="61"/>
        <v>0.28592406521447217</v>
      </c>
      <c r="W68" s="147">
        <f t="shared" si="62"/>
        <v>1.6247973690042272E-5</v>
      </c>
      <c r="X68" s="148">
        <f t="shared" si="63"/>
        <v>1.3443515866129019</v>
      </c>
      <c r="Y68" s="148">
        <f t="shared" si="64"/>
        <v>-1848.3758459760083</v>
      </c>
      <c r="Z68" s="149">
        <f t="shared" ca="1" si="65"/>
        <v>-207936217.82339549</v>
      </c>
      <c r="AA68" s="149">
        <f t="shared" ca="1" si="66"/>
        <v>-413064155.21713066</v>
      </c>
      <c r="AB68" s="150">
        <f t="shared" ca="1" si="67"/>
        <v>0.20813124479672931</v>
      </c>
      <c r="AC68" s="149">
        <f t="shared" ca="1" si="68"/>
        <v>17220.705455578158</v>
      </c>
      <c r="AD68" s="149">
        <f t="shared" ca="1" si="69"/>
        <v>-23677091.864751376</v>
      </c>
      <c r="AE68" s="151">
        <f>IF(F68&gt;MarketData!$B$26,INDEX(MarketData!$B$26:$B$64,MATCH(F68,MarketData!$B$26:$B$64)),MarketData!$B$26)</f>
        <v>46021</v>
      </c>
      <c r="AF68" s="151">
        <f>IF(AE68&gt;MarketData!$B$26,INDEX(MarketData!$B$26:$B$64,MATCH(AE68,MarketData!$B$26:$B$64)+1),MarketData!$B$26)</f>
        <v>0</v>
      </c>
      <c r="AG68" s="169">
        <f>VLOOKUP(AE68,MarketData!$B$26:$D$43,3,0)/100</f>
        <v>6.5000000000000002E-2</v>
      </c>
      <c r="AH68" s="146">
        <f>IF(AF68=0,AG68,VLOOKUP(AF68,MarketData!$B$26:$D$43,3,0)/100)</f>
        <v>6.5000000000000002E-2</v>
      </c>
    </row>
    <row r="69" spans="2:34">
      <c r="B69" s="20">
        <f>'Summary Sheet'!$C$2</f>
        <v>46238</v>
      </c>
      <c r="C69" s="10">
        <v>-0.15</v>
      </c>
      <c r="D69" s="138">
        <f t="shared" si="70"/>
        <v>60321.244719702438</v>
      </c>
      <c r="E69" s="138">
        <f t="shared" si="54"/>
        <v>76800</v>
      </c>
      <c r="F69" s="20">
        <f t="shared" si="55"/>
        <v>47689</v>
      </c>
      <c r="G69" s="4" t="s">
        <v>29</v>
      </c>
      <c r="H69" s="139">
        <f t="shared" si="56"/>
        <v>14318.225731218534</v>
      </c>
      <c r="I69" s="127">
        <f t="shared" si="57"/>
        <v>-0.51156846839694481</v>
      </c>
      <c r="J69" s="127">
        <f t="shared" si="58"/>
        <v>479.71720879062013</v>
      </c>
      <c r="K69" s="142">
        <f ca="1">'Summary Sheet'!$H$15*10000000/$J$36</f>
        <v>12809.6739179412</v>
      </c>
      <c r="L69" s="139">
        <f t="shared" ca="1" si="71"/>
        <v>6145021.0174327595</v>
      </c>
      <c r="M69" s="139">
        <f t="shared" ca="1" si="59"/>
        <v>-6553.0252668654712</v>
      </c>
      <c r="N69" s="143">
        <f t="shared" si="74"/>
        <v>0.21375383750000002</v>
      </c>
      <c r="O69" s="143">
        <f t="shared" si="72"/>
        <v>3.4799999999999998E-2</v>
      </c>
      <c r="P69" s="144">
        <f t="shared" si="73"/>
        <v>3.4799999999999998E-2</v>
      </c>
      <c r="Q69" s="141" t="s">
        <v>199</v>
      </c>
      <c r="R69" s="144">
        <f>SUMIF(MarketData!$I$26:$I$1204,"&lt;"&amp;F69,MarketData!$J$26:$J$1204)/D69*365/(F69-B69)*(IF(G$26="P",IF(U$26="O",'Pricing Params'!$M$2,1),IF(U$26="O",1,IF(U$26="OLD",1,'Pricing Params'!$M$2))))</f>
        <v>8.0002675349034706E-3</v>
      </c>
      <c r="S69" s="145">
        <f t="shared" si="60"/>
        <v>69270.995038422567</v>
      </c>
      <c r="T69" s="143">
        <f>VLOOKUP(F69,'Pricing Params'!B:C,2,0)</f>
        <v>0</v>
      </c>
      <c r="U69" s="145" t="s">
        <v>47</v>
      </c>
      <c r="V69" s="146">
        <f t="shared" si="61"/>
        <v>0.23736621811687916</v>
      </c>
      <c r="W69" s="147">
        <f t="shared" si="62"/>
        <v>1.5511570381931961E-5</v>
      </c>
      <c r="X69" s="148">
        <f t="shared" si="63"/>
        <v>0.77448225022635597</v>
      </c>
      <c r="Y69" s="148">
        <f t="shared" si="64"/>
        <v>-1716.6780588870479</v>
      </c>
      <c r="Z69" s="149">
        <f t="shared" ca="1" si="65"/>
        <v>-183411802.70038462</v>
      </c>
      <c r="AA69" s="149">
        <f t="shared" ca="1" si="66"/>
        <v>-395286640.77698547</v>
      </c>
      <c r="AB69" s="150">
        <f t="shared" ca="1" si="67"/>
        <v>0.19869815854774306</v>
      </c>
      <c r="AC69" s="149">
        <f t="shared" ca="1" si="68"/>
        <v>9920.8650806329624</v>
      </c>
      <c r="AD69" s="149">
        <f t="shared" ca="1" si="69"/>
        <v>-21990086.156427342</v>
      </c>
      <c r="AE69" s="151">
        <f>IF(F69&gt;MarketData!$B$26,INDEX(MarketData!$B$26:$B$64,MATCH(F69,MarketData!$B$26:$B$64)),MarketData!$B$26)</f>
        <v>46021</v>
      </c>
      <c r="AF69" s="151">
        <f>IF(AE69&gt;MarketData!$B$26,INDEX(MarketData!$B$26:$B$64,MATCH(AE69,MarketData!$B$26:$B$64)+1),MarketData!$B$26)</f>
        <v>0</v>
      </c>
      <c r="AG69" s="169">
        <f>VLOOKUP(AE69,MarketData!$B$26:$D$43,3,0)/100</f>
        <v>6.5000000000000002E-2</v>
      </c>
      <c r="AH69" s="146">
        <f>IF(AF69=0,AG69,VLOOKUP(AF69,MarketData!$B$26:$D$43,3,0)/100)</f>
        <v>6.5000000000000002E-2</v>
      </c>
    </row>
    <row r="70" spans="2:34">
      <c r="B70" s="20">
        <f>'Summary Sheet'!$C$2</f>
        <v>46238</v>
      </c>
      <c r="C70" s="10">
        <v>-0.1</v>
      </c>
      <c r="D70" s="138">
        <f t="shared" si="70"/>
        <v>63869.553232626109</v>
      </c>
      <c r="E70" s="138">
        <f t="shared" si="54"/>
        <v>76800</v>
      </c>
      <c r="F70" s="20">
        <f t="shared" si="55"/>
        <v>47689</v>
      </c>
      <c r="G70" s="4" t="s">
        <v>29</v>
      </c>
      <c r="H70" s="139">
        <f t="shared" si="56"/>
        <v>12598.792046343953</v>
      </c>
      <c r="I70" s="127">
        <f t="shared" si="57"/>
        <v>-0.45814283977779269</v>
      </c>
      <c r="J70" s="127">
        <f t="shared" si="58"/>
        <v>504.82017099739824</v>
      </c>
      <c r="K70" s="142">
        <f ca="1">'Summary Sheet'!$H$15*10000000/$J$36</f>
        <v>12809.6739179412</v>
      </c>
      <c r="L70" s="139">
        <f t="shared" ca="1" si="71"/>
        <v>6466581.7776759891</v>
      </c>
      <c r="M70" s="139">
        <f t="shared" ca="1" si="59"/>
        <v>-5868.6603853931047</v>
      </c>
      <c r="N70" s="143">
        <f t="shared" si="74"/>
        <v>0.21375383750000002</v>
      </c>
      <c r="O70" s="143">
        <f t="shared" si="72"/>
        <v>3.4799999999999998E-2</v>
      </c>
      <c r="P70" s="144">
        <f t="shared" si="73"/>
        <v>3.4799999999999998E-2</v>
      </c>
      <c r="Q70" s="141" t="s">
        <v>199</v>
      </c>
      <c r="R70" s="144">
        <f>SUMIF(MarketData!$I$26:$I$1204,"&lt;"&amp;F70,MarketData!$J$26:$J$1204)/D70*365/(F70-B70)*(IF(G$26="P",IF(U$26="O",'Pricing Params'!$M$2,1),IF(U$26="O",1,IF(U$26="OLD",1,'Pricing Params'!$M$2))))</f>
        <v>7.5558082274088337E-3</v>
      </c>
      <c r="S70" s="145">
        <f t="shared" si="60"/>
        <v>73345.759452447412</v>
      </c>
      <c r="T70" s="143">
        <f>VLOOKUP(F70,'Pricing Params'!B:C,2,0)</f>
        <v>0</v>
      </c>
      <c r="U70" s="145" t="s">
        <v>47</v>
      </c>
      <c r="V70" s="146">
        <f t="shared" si="61"/>
        <v>0.19725818341732484</v>
      </c>
      <c r="W70" s="147">
        <f t="shared" si="62"/>
        <v>1.4575238310499117E-5</v>
      </c>
      <c r="X70" s="148">
        <f t="shared" si="63"/>
        <v>0.26934355271805543</v>
      </c>
      <c r="Y70" s="148">
        <f t="shared" si="64"/>
        <v>-1585.2631737299489</v>
      </c>
      <c r="Z70" s="149">
        <f t="shared" ca="1" si="65"/>
        <v>-161386417.87361717</v>
      </c>
      <c r="AA70" s="149">
        <f t="shared" ca="1" si="66"/>
        <v>-374828716.88906896</v>
      </c>
      <c r="AB70" s="150">
        <f t="shared" ca="1" si="67"/>
        <v>0.18670405003377791</v>
      </c>
      <c r="AC70" s="149">
        <f t="shared" ca="1" si="68"/>
        <v>3450.2030822180955</v>
      </c>
      <c r="AD70" s="149">
        <f t="shared" ca="1" si="69"/>
        <v>-20306704.329601217</v>
      </c>
      <c r="AE70" s="151">
        <f>IF(F70&gt;MarketData!$B$26,INDEX(MarketData!$B$26:$B$64,MATCH(F70,MarketData!$B$26:$B$64)),MarketData!$B$26)</f>
        <v>46021</v>
      </c>
      <c r="AF70" s="151">
        <f>IF(AE70&gt;MarketData!$B$26,INDEX(MarketData!$B$26:$B$64,MATCH(AE70,MarketData!$B$26:$B$64)+1),MarketData!$B$26)</f>
        <v>0</v>
      </c>
      <c r="AG70" s="169">
        <f>VLOOKUP(AE70,MarketData!$B$26:$D$43,3,0)/100</f>
        <v>6.5000000000000002E-2</v>
      </c>
      <c r="AH70" s="146">
        <f>IF(AF70=0,AG70,VLOOKUP(AF70,MarketData!$B$26:$D$43,3,0)/100)</f>
        <v>6.5000000000000002E-2</v>
      </c>
    </row>
    <row r="71" spans="2:34">
      <c r="B71" s="20">
        <f>'Summary Sheet'!$C$2</f>
        <v>46238</v>
      </c>
      <c r="C71" s="10">
        <v>-0.05</v>
      </c>
      <c r="D71" s="138">
        <f t="shared" si="70"/>
        <v>67417.861745549773</v>
      </c>
      <c r="E71" s="138">
        <f t="shared" si="54"/>
        <v>76800</v>
      </c>
      <c r="F71" s="20">
        <f t="shared" si="55"/>
        <v>47689</v>
      </c>
      <c r="G71" s="4" t="s">
        <v>29</v>
      </c>
      <c r="H71" s="139">
        <f t="shared" si="56"/>
        <v>11062.739668045046</v>
      </c>
      <c r="I71" s="127">
        <f t="shared" si="57"/>
        <v>-0.40827834068659286</v>
      </c>
      <c r="J71" s="127">
        <f t="shared" si="58"/>
        <v>521.46126487960828</v>
      </c>
      <c r="K71" s="142">
        <f ca="1">'Summary Sheet'!$H$15*10000000/$J$36</f>
        <v>12809.6739179412</v>
      </c>
      <c r="L71" s="139">
        <f t="shared" ca="1" si="71"/>
        <v>6679748.7639449453</v>
      </c>
      <c r="M71" s="139">
        <f t="shared" ca="1" si="59"/>
        <v>-5229.9124119533599</v>
      </c>
      <c r="N71" s="143">
        <f t="shared" si="74"/>
        <v>0.21375383750000002</v>
      </c>
      <c r="O71" s="143">
        <f t="shared" si="72"/>
        <v>3.4799999999999998E-2</v>
      </c>
      <c r="P71" s="144">
        <f t="shared" si="73"/>
        <v>3.4799999999999998E-2</v>
      </c>
      <c r="Q71" s="141" t="s">
        <v>199</v>
      </c>
      <c r="R71" s="144">
        <f>SUMIF(MarketData!$I$26:$I$1204,"&lt;"&amp;F71,MarketData!$J$26:$J$1204)/D71*365/(F71-B71)*(IF(G$26="P",IF(U$26="O",'Pricing Params'!$M$2,1),IF(U$26="O",1,IF(U$26="OLD",1,'Pricing Params'!$M$2))))</f>
        <v>7.1581341101767913E-3</v>
      </c>
      <c r="S71" s="145">
        <f t="shared" si="60"/>
        <v>77420.523866472256</v>
      </c>
      <c r="T71" s="143">
        <f>VLOOKUP(F71,'Pricing Params'!B:C,2,0)</f>
        <v>0</v>
      </c>
      <c r="U71" s="145" t="s">
        <v>47</v>
      </c>
      <c r="V71" s="146">
        <f t="shared" si="61"/>
        <v>0.16409211715729463</v>
      </c>
      <c r="W71" s="147">
        <f t="shared" si="62"/>
        <v>1.3516015314962715E-5</v>
      </c>
      <c r="X71" s="148">
        <f t="shared" si="63"/>
        <v>-0.16642657638840319</v>
      </c>
      <c r="Y71" s="148">
        <f t="shared" si="64"/>
        <v>-1456.3880600183038</v>
      </c>
      <c r="Z71" s="149">
        <f t="shared" ca="1" si="65"/>
        <v>-141710087.78673011</v>
      </c>
      <c r="AA71" s="149">
        <f t="shared" ca="1" si="66"/>
        <v>-352589511.93040639</v>
      </c>
      <c r="AB71" s="150">
        <f t="shared" ca="1" si="67"/>
        <v>0.1731357488545717</v>
      </c>
      <c r="AC71" s="149">
        <f t="shared" ca="1" si="68"/>
        <v>-2131.8701748147769</v>
      </c>
      <c r="AD71" s="149">
        <f t="shared" ca="1" si="69"/>
        <v>-18655856.146817449</v>
      </c>
      <c r="AE71" s="151">
        <f>IF(F71&gt;MarketData!$B$26,INDEX(MarketData!$B$26:$B$64,MATCH(F71,MarketData!$B$26:$B$64)),MarketData!$B$26)</f>
        <v>46021</v>
      </c>
      <c r="AF71" s="151">
        <f>IF(AE71&gt;MarketData!$B$26,INDEX(MarketData!$B$26:$B$64,MATCH(AE71,MarketData!$B$26:$B$64)+1),MarketData!$B$26)</f>
        <v>0</v>
      </c>
      <c r="AG71" s="169">
        <f>VLOOKUP(AE71,MarketData!$B$26:$D$43,3,0)/100</f>
        <v>6.5000000000000002E-2</v>
      </c>
      <c r="AH71" s="146">
        <f>IF(AF71=0,AG71,VLOOKUP(AF71,MarketData!$B$26:$D$43,3,0)/100)</f>
        <v>6.5000000000000002E-2</v>
      </c>
    </row>
    <row r="72" spans="2:34">
      <c r="B72" s="152">
        <f>'Summary Sheet'!$C$2</f>
        <v>46238</v>
      </c>
      <c r="C72" s="153">
        <v>0</v>
      </c>
      <c r="D72" s="154">
        <f t="shared" si="70"/>
        <v>70966.170258473445</v>
      </c>
      <c r="E72" s="154">
        <f t="shared" si="54"/>
        <v>76800</v>
      </c>
      <c r="F72" s="152">
        <f t="shared" si="55"/>
        <v>47689</v>
      </c>
      <c r="G72" s="155" t="s">
        <v>29</v>
      </c>
      <c r="H72" s="156">
        <f t="shared" si="56"/>
        <v>9696.7981318220136</v>
      </c>
      <c r="I72" s="157">
        <f t="shared" si="57"/>
        <v>-0.36229552633631101</v>
      </c>
      <c r="J72" s="157">
        <f t="shared" si="58"/>
        <v>530.16683834689138</v>
      </c>
      <c r="K72" s="158">
        <f ca="1">'Summary Sheet'!$H$15*10000000/$J$36</f>
        <v>12809.6739179412</v>
      </c>
      <c r="L72" s="156">
        <f t="shared" ca="1" si="71"/>
        <v>6791264.3213295229</v>
      </c>
      <c r="M72" s="156">
        <f t="shared" ca="1" si="59"/>
        <v>-4640.8875542970218</v>
      </c>
      <c r="N72" s="159">
        <f t="shared" si="74"/>
        <v>0.21375383750000002</v>
      </c>
      <c r="O72" s="159">
        <f t="shared" si="72"/>
        <v>3.4799999999999998E-2</v>
      </c>
      <c r="P72" s="160">
        <f t="shared" si="73"/>
        <v>3.4799999999999998E-2</v>
      </c>
      <c r="Q72" s="161" t="s">
        <v>199</v>
      </c>
      <c r="R72" s="160">
        <f>SUMIF(MarketData!$I$26:$I$1204,"&lt;"&amp;F72,MarketData!$J$26:$J$1204)/D72*365/(F72-B72)*(IF(G$26="P",IF(U$26="O",'Pricing Params'!$M$2,1),IF(U$26="O",1,IF(U$26="OLD",1,'Pricing Params'!$M$2))))</f>
        <v>6.8002274046679518E-3</v>
      </c>
      <c r="S72" s="162">
        <f t="shared" si="60"/>
        <v>81495.288280497116</v>
      </c>
      <c r="T72" s="159">
        <f>VLOOKUP(F72,'Pricing Params'!B:C,2,0)</f>
        <v>0</v>
      </c>
      <c r="U72" s="162" t="s">
        <v>47</v>
      </c>
      <c r="V72" s="163">
        <f t="shared" si="61"/>
        <v>0.13663972702069554</v>
      </c>
      <c r="W72" s="164">
        <f t="shared" si="62"/>
        <v>1.2396569218253717E-5</v>
      </c>
      <c r="X72" s="165">
        <f t="shared" si="63"/>
        <v>-0.53230726013316598</v>
      </c>
      <c r="Y72" s="165">
        <f t="shared" si="64"/>
        <v>-1331.84086877355</v>
      </c>
      <c r="Z72" s="166">
        <f t="shared" ca="1" si="65"/>
        <v>-124212822.1167414</v>
      </c>
      <c r="AA72" s="166">
        <f t="shared" ca="1" si="66"/>
        <v>-329346016.32867289</v>
      </c>
      <c r="AB72" s="167">
        <f t="shared" ca="1" si="67"/>
        <v>0.15879600938701738</v>
      </c>
      <c r="AC72" s="166">
        <f t="shared" ca="1" si="68"/>
        <v>-6818.6824264585575</v>
      </c>
      <c r="AD72" s="166">
        <f t="shared" ca="1" si="69"/>
        <v>-17060447.239576694</v>
      </c>
      <c r="AE72" s="168">
        <f>IF(F72&gt;MarketData!$B$26,INDEX(MarketData!$B$26:$B$64,MATCH(F72,MarketData!$B$26:$B$64)),MarketData!$B$26)</f>
        <v>46021</v>
      </c>
      <c r="AF72" s="168">
        <f>IF(AE72&gt;MarketData!$B$26,INDEX(MarketData!$B$26:$B$64,MATCH(AE72,MarketData!$B$26:$B$64)+1),MarketData!$B$26)</f>
        <v>0</v>
      </c>
      <c r="AG72" s="170">
        <f>VLOOKUP(AE72,MarketData!$B$26:$D$43,3,0)/100</f>
        <v>6.5000000000000002E-2</v>
      </c>
      <c r="AH72" s="163">
        <f>IF(AF72=0,AG72,VLOOKUP(AF72,MarketData!$B$26:$D$43,3,0)/100)</f>
        <v>6.5000000000000002E-2</v>
      </c>
    </row>
    <row r="73" spans="2:34">
      <c r="B73" s="20">
        <f>'Summary Sheet'!$C$2</f>
        <v>46238</v>
      </c>
      <c r="C73" s="10">
        <v>0.05</v>
      </c>
      <c r="D73" s="138">
        <f t="shared" si="70"/>
        <v>74514.478771397116</v>
      </c>
      <c r="E73" s="138">
        <f t="shared" si="54"/>
        <v>76800</v>
      </c>
      <c r="F73" s="20">
        <f t="shared" si="55"/>
        <v>47689</v>
      </c>
      <c r="G73" s="4" t="s">
        <v>29</v>
      </c>
      <c r="H73" s="139">
        <f t="shared" si="56"/>
        <v>8486.9240078742223</v>
      </c>
      <c r="I73" s="127">
        <f t="shared" si="57"/>
        <v>-0.32031789657230547</v>
      </c>
      <c r="J73" s="127">
        <f t="shared" si="58"/>
        <v>531.71061267749246</v>
      </c>
      <c r="K73" s="142">
        <f ca="1">'Summary Sheet'!$H$15*10000000/$J$36</f>
        <v>12809.6739179412</v>
      </c>
      <c r="L73" s="139">
        <f t="shared" ca="1" si="71"/>
        <v>6811039.5671074111</v>
      </c>
      <c r="M73" s="139">
        <f t="shared" ca="1" si="59"/>
        <v>-4103.1678051720482</v>
      </c>
      <c r="N73" s="143">
        <f t="shared" si="74"/>
        <v>0.21375383750000002</v>
      </c>
      <c r="O73" s="143">
        <f t="shared" si="72"/>
        <v>3.4799999999999998E-2</v>
      </c>
      <c r="P73" s="144">
        <f t="shared" si="73"/>
        <v>3.4799999999999998E-2</v>
      </c>
      <c r="Q73" s="141" t="s">
        <v>199</v>
      </c>
      <c r="R73" s="144">
        <f>SUMIF(MarketData!$I$26:$I$1204,"&lt;"&amp;F73,MarketData!$J$26:$J$1204)/D73*365/(F73-B73)*(IF(G$26="P",IF(U$26="O",'Pricing Params'!$M$2,1),IF(U$26="O",1,IF(U$26="OLD",1,'Pricing Params'!$M$2))))</f>
        <v>6.4764070520647154E-3</v>
      </c>
      <c r="S73" s="145">
        <f t="shared" si="60"/>
        <v>85570.052694521975</v>
      </c>
      <c r="T73" s="143">
        <f>VLOOKUP(F73,'Pricing Params'!B:C,2,0)</f>
        <v>0</v>
      </c>
      <c r="U73" s="145" t="s">
        <v>47</v>
      </c>
      <c r="V73" s="146">
        <f t="shared" si="61"/>
        <v>0.11389630777544921</v>
      </c>
      <c r="W73" s="147">
        <f t="shared" si="62"/>
        <v>1.1265452485531569E-5</v>
      </c>
      <c r="X73" s="148">
        <f t="shared" si="63"/>
        <v>-0.83084533799592464</v>
      </c>
      <c r="Y73" s="148">
        <f t="shared" si="64"/>
        <v>-1212.9615358424298</v>
      </c>
      <c r="Z73" s="149">
        <f t="shared" ca="1" si="65"/>
        <v>-108714729.10721542</v>
      </c>
      <c r="AA73" s="149">
        <f t="shared" ca="1" si="66"/>
        <v>-305745410.31397271</v>
      </c>
      <c r="AB73" s="150">
        <f t="shared" ca="1" si="67"/>
        <v>0.14430677287771959</v>
      </c>
      <c r="AC73" s="149">
        <f t="shared" ca="1" si="68"/>
        <v>-10642.857855969436</v>
      </c>
      <c r="AD73" s="149">
        <f t="shared" ca="1" si="69"/>
        <v>-15537641.749146674</v>
      </c>
      <c r="AE73" s="151">
        <f>IF(F73&gt;MarketData!$B$26,INDEX(MarketData!$B$26:$B$64,MATCH(F73,MarketData!$B$26:$B$64)),MarketData!$B$26)</f>
        <v>46021</v>
      </c>
      <c r="AF73" s="151">
        <f>IF(AE73&gt;MarketData!$B$26,INDEX(MarketData!$B$26:$B$64,MATCH(AE73,MarketData!$B$26:$B$64)+1),MarketData!$B$26)</f>
        <v>0</v>
      </c>
      <c r="AG73" s="169">
        <f>VLOOKUP(AE73,MarketData!$B$26:$D$43,3,0)/100</f>
        <v>6.5000000000000002E-2</v>
      </c>
      <c r="AH73" s="146">
        <f>IF(AF73=0,AG73,VLOOKUP(AF73,MarketData!$B$26:$D$43,3,0)/100)</f>
        <v>6.5000000000000002E-2</v>
      </c>
    </row>
    <row r="74" spans="2:34">
      <c r="B74" s="20">
        <f>'Summary Sheet'!$C$2</f>
        <v>46238</v>
      </c>
      <c r="C74" s="10">
        <v>0.1</v>
      </c>
      <c r="D74" s="138">
        <f t="shared" si="70"/>
        <v>78062.787284320802</v>
      </c>
      <c r="E74" s="138">
        <f t="shared" si="54"/>
        <v>76800</v>
      </c>
      <c r="F74" s="20">
        <f t="shared" si="55"/>
        <v>47689</v>
      </c>
      <c r="G74" s="4" t="s">
        <v>29</v>
      </c>
      <c r="H74" s="139">
        <f t="shared" si="56"/>
        <v>7418.913594462525</v>
      </c>
      <c r="I74" s="127">
        <f t="shared" si="57"/>
        <v>-0.28231982924990007</v>
      </c>
      <c r="J74" s="127">
        <f t="shared" si="58"/>
        <v>527.00630908336916</v>
      </c>
      <c r="K74" s="142">
        <f ca="1">'Summary Sheet'!$H$15*10000000/$J$36</f>
        <v>12809.6739179412</v>
      </c>
      <c r="L74" s="139">
        <f t="shared" ca="1" si="71"/>
        <v>6750778.9720556922</v>
      </c>
      <c r="M74" s="139">
        <f t="shared" ca="1" si="59"/>
        <v>-3616.4249532600579</v>
      </c>
      <c r="N74" s="143">
        <f t="shared" si="74"/>
        <v>0.21375383750000002</v>
      </c>
      <c r="O74" s="143">
        <f t="shared" si="72"/>
        <v>3.4799999999999998E-2</v>
      </c>
      <c r="P74" s="144">
        <f t="shared" si="73"/>
        <v>3.4799999999999998E-2</v>
      </c>
      <c r="Q74" s="141" t="s">
        <v>199</v>
      </c>
      <c r="R74" s="144">
        <f>SUMIF(MarketData!$I$26:$I$1204,"&lt;"&amp;F74,MarketData!$J$26:$J$1204)/D74*365/(F74-B74)*(IF(G$26="P",IF(U$26="O",'Pricing Params'!$M$2,1),IF(U$26="O",1,IF(U$26="OLD",1,'Pricing Params'!$M$2))))</f>
        <v>6.1820249133345004E-3</v>
      </c>
      <c r="S74" s="145">
        <f t="shared" si="60"/>
        <v>89644.817108546849</v>
      </c>
      <c r="T74" s="143">
        <f>VLOOKUP(F74,'Pricing Params'!B:C,2,0)</f>
        <v>0</v>
      </c>
      <c r="U74" s="145" t="s">
        <v>47</v>
      </c>
      <c r="V74" s="146">
        <f t="shared" si="61"/>
        <v>9.5037774752281243E-2</v>
      </c>
      <c r="W74" s="147">
        <f t="shared" si="62"/>
        <v>1.0158506484003738E-5</v>
      </c>
      <c r="X74" s="148">
        <f t="shared" si="63"/>
        <v>-1.0666982712691606</v>
      </c>
      <c r="Y74" s="148">
        <f t="shared" si="64"/>
        <v>-1100.6860980561623</v>
      </c>
      <c r="Z74" s="149">
        <f t="shared" ca="1" si="65"/>
        <v>-95033863.970446005</v>
      </c>
      <c r="AA74" s="149">
        <f t="shared" ca="1" si="66"/>
        <v>-282308211.85604966</v>
      </c>
      <c r="AB74" s="150">
        <f t="shared" ca="1" si="67"/>
        <v>0.13012715555337923</v>
      </c>
      <c r="AC74" s="149">
        <f t="shared" ca="1" si="68"/>
        <v>-13664.057023789534</v>
      </c>
      <c r="AD74" s="149">
        <f t="shared" ca="1" si="69"/>
        <v>-14099430.002110492</v>
      </c>
      <c r="AE74" s="151">
        <f>IF(F74&gt;MarketData!$B$26,INDEX(MarketData!$B$26:$B$64,MATCH(F74,MarketData!$B$26:$B$64)),MarketData!$B$26)</f>
        <v>46021</v>
      </c>
      <c r="AF74" s="151">
        <f>IF(AE74&gt;MarketData!$B$26,INDEX(MarketData!$B$26:$B$64,MATCH(AE74,MarketData!$B$26:$B$64)+1),MarketData!$B$26)</f>
        <v>0</v>
      </c>
      <c r="AG74" s="169">
        <f>VLOOKUP(AE74,MarketData!$B$26:$D$43,3,0)/100</f>
        <v>6.5000000000000002E-2</v>
      </c>
      <c r="AH74" s="146">
        <f>IF(AF74=0,AG74,VLOOKUP(AF74,MarketData!$B$26:$D$43,3,0)/100)</f>
        <v>6.5000000000000002E-2</v>
      </c>
    </row>
    <row r="75" spans="2:34">
      <c r="B75" s="20">
        <f>'Summary Sheet'!$C$2</f>
        <v>46238</v>
      </c>
      <c r="C75" s="10">
        <v>0.15</v>
      </c>
      <c r="D75" s="138">
        <f t="shared" si="70"/>
        <v>81611.095797244459</v>
      </c>
      <c r="E75" s="138">
        <f t="shared" si="54"/>
        <v>76800</v>
      </c>
      <c r="F75" s="20">
        <f t="shared" si="55"/>
        <v>47689</v>
      </c>
      <c r="G75" s="4" t="s">
        <v>29</v>
      </c>
      <c r="H75" s="139">
        <f t="shared" si="56"/>
        <v>6478.8557194771829</v>
      </c>
      <c r="I75" s="127">
        <f t="shared" si="57"/>
        <v>-0.24816845982786617</v>
      </c>
      <c r="J75" s="127">
        <f t="shared" si="58"/>
        <v>517.02320034811692</v>
      </c>
      <c r="K75" s="142">
        <f ca="1">'Summary Sheet'!$H$15*10000000/$J$36</f>
        <v>12809.6739179412</v>
      </c>
      <c r="L75" s="139">
        <f t="shared" ca="1" si="71"/>
        <v>6622898.6044697603</v>
      </c>
      <c r="M75" s="139">
        <f t="shared" ca="1" si="59"/>
        <v>-3178.9570471126558</v>
      </c>
      <c r="N75" s="143">
        <f t="shared" si="74"/>
        <v>0.21375383750000002</v>
      </c>
      <c r="O75" s="143">
        <f t="shared" si="72"/>
        <v>3.4799999999999998E-2</v>
      </c>
      <c r="P75" s="144">
        <f t="shared" si="73"/>
        <v>3.4799999999999998E-2</v>
      </c>
      <c r="Q75" s="141" t="s">
        <v>199</v>
      </c>
      <c r="R75" s="144">
        <f>SUMIF(MarketData!$I$26:$I$1204,"&lt;"&amp;F75,MarketData!$J$26:$J$1204)/D75*365/(F75-B75)*(IF(G$26="P",IF(U$26="O",'Pricing Params'!$M$2,1),IF(U$26="O",1,IF(U$26="OLD",1,'Pricing Params'!$M$2))))</f>
        <v>5.9132412214503932E-3</v>
      </c>
      <c r="S75" s="145">
        <f t="shared" si="60"/>
        <v>93719.58152257168</v>
      </c>
      <c r="T75" s="143">
        <f>VLOOKUP(F75,'Pricing Params'!B:C,2,0)</f>
        <v>0</v>
      </c>
      <c r="U75" s="145" t="s">
        <v>47</v>
      </c>
      <c r="V75" s="146">
        <f t="shared" si="61"/>
        <v>7.9386946789359703E-2</v>
      </c>
      <c r="W75" s="147">
        <f t="shared" si="62"/>
        <v>9.1006531874882057E-6</v>
      </c>
      <c r="X75" s="148">
        <f t="shared" si="63"/>
        <v>-1.2458254817956913</v>
      </c>
      <c r="Y75" s="148">
        <f t="shared" si="64"/>
        <v>-995.60284305902042</v>
      </c>
      <c r="Z75" s="149">
        <f t="shared" ca="1" si="65"/>
        <v>-82992029.127891034</v>
      </c>
      <c r="AA75" s="149">
        <f t="shared" ca="1" si="66"/>
        <v>-259438168.1072363</v>
      </c>
      <c r="AB75" s="150">
        <f t="shared" ca="1" si="67"/>
        <v>0.11657639977199612</v>
      </c>
      <c r="AC75" s="149">
        <f t="shared" ca="1" si="68"/>
        <v>-15958.618180464797</v>
      </c>
      <c r="AD75" s="149">
        <f t="shared" ca="1" si="69"/>
        <v>-12753347.771361239</v>
      </c>
      <c r="AE75" s="151">
        <f>IF(F75&gt;MarketData!$B$26,INDEX(MarketData!$B$26:$B$64,MATCH(F75,MarketData!$B$26:$B$64)),MarketData!$B$26)</f>
        <v>46021</v>
      </c>
      <c r="AF75" s="151">
        <f>IF(AE75&gt;MarketData!$B$26,INDEX(MarketData!$B$26:$B$64,MATCH(AE75,MarketData!$B$26:$B$64)+1),MarketData!$B$26)</f>
        <v>0</v>
      </c>
      <c r="AG75" s="169">
        <f>VLOOKUP(AE75,MarketData!$B$26:$D$43,3,0)/100</f>
        <v>6.5000000000000002E-2</v>
      </c>
      <c r="AH75" s="146">
        <f>IF(AF75=0,AG75,VLOOKUP(AF75,MarketData!$B$26:$D$43,3,0)/100)</f>
        <v>6.5000000000000002E-2</v>
      </c>
    </row>
    <row r="76" spans="2:34">
      <c r="B76" s="20">
        <f>'Summary Sheet'!$C$2</f>
        <v>46238</v>
      </c>
      <c r="C76" s="10">
        <v>0.2</v>
      </c>
      <c r="D76" s="138">
        <f t="shared" si="70"/>
        <v>85159.404310168145</v>
      </c>
      <c r="E76" s="138">
        <f t="shared" si="54"/>
        <v>76800</v>
      </c>
      <c r="F76" s="20">
        <f t="shared" si="55"/>
        <v>47689</v>
      </c>
      <c r="G76" s="4" t="s">
        <v>29</v>
      </c>
      <c r="H76" s="139">
        <f t="shared" si="56"/>
        <v>5653.4484766265487</v>
      </c>
      <c r="I76" s="127">
        <f t="shared" si="57"/>
        <v>-0.2176584283261036</v>
      </c>
      <c r="J76" s="127">
        <f t="shared" si="58"/>
        <v>502.72368047985401</v>
      </c>
      <c r="K76" s="142">
        <f ca="1">'Summary Sheet'!$H$15*10000000/$J$36</f>
        <v>12809.6739179412</v>
      </c>
      <c r="L76" s="139">
        <f t="shared" ca="1" si="71"/>
        <v>6439726.4177741911</v>
      </c>
      <c r="M76" s="139">
        <f t="shared" ca="1" si="59"/>
        <v>-2788.1334923489635</v>
      </c>
      <c r="N76" s="143">
        <f t="shared" si="74"/>
        <v>0.21375383750000002</v>
      </c>
      <c r="O76" s="143">
        <f t="shared" si="72"/>
        <v>3.4799999999999998E-2</v>
      </c>
      <c r="P76" s="144">
        <f t="shared" si="73"/>
        <v>3.4799999999999998E-2</v>
      </c>
      <c r="Q76" s="141" t="s">
        <v>199</v>
      </c>
      <c r="R76" s="144">
        <f>SUMIF(MarketData!$I$26:$I$1204,"&lt;"&amp;F76,MarketData!$J$26:$J$1204)/D76*365/(F76-B76)*(IF(G$26="P",IF(U$26="O",'Pricing Params'!$M$2,1),IF(U$26="O",1,IF(U$26="OLD",1,'Pricing Params'!$M$2))))</f>
        <v>5.6668561705566257E-3</v>
      </c>
      <c r="S76" s="145">
        <f t="shared" si="60"/>
        <v>97794.345936596554</v>
      </c>
      <c r="T76" s="143">
        <f>VLOOKUP(F76,'Pricing Params'!B:C,2,0)</f>
        <v>0</v>
      </c>
      <c r="U76" s="145" t="s">
        <v>47</v>
      </c>
      <c r="V76" s="146">
        <f t="shared" si="61"/>
        <v>6.6386660667981198E-2</v>
      </c>
      <c r="W76" s="147">
        <f t="shared" si="62"/>
        <v>8.1081234384328127E-6</v>
      </c>
      <c r="X76" s="148">
        <f t="shared" si="63"/>
        <v>-1.3748449469167099</v>
      </c>
      <c r="Y76" s="148">
        <f t="shared" si="64"/>
        <v>-898.01191134421697</v>
      </c>
      <c r="Z76" s="149">
        <f t="shared" ca="1" si="65"/>
        <v>-72418831.497467503</v>
      </c>
      <c r="AA76" s="149">
        <f t="shared" ca="1" si="66"/>
        <v>-237435787.3456665</v>
      </c>
      <c r="AB76" s="150">
        <f t="shared" ca="1" si="67"/>
        <v>0.10386241733274051</v>
      </c>
      <c r="AC76" s="149">
        <f t="shared" ca="1" si="68"/>
        <v>-17611.315457732231</v>
      </c>
      <c r="AD76" s="149">
        <f t="shared" ca="1" si="69"/>
        <v>-11503239.758746542</v>
      </c>
      <c r="AE76" s="151">
        <f>IF(F76&gt;MarketData!$B$26,INDEX(MarketData!$B$26:$B$64,MATCH(F76,MarketData!$B$26:$B$64)),MarketData!$B$26)</f>
        <v>46021</v>
      </c>
      <c r="AF76" s="151">
        <f>IF(AE76&gt;MarketData!$B$26,INDEX(MarketData!$B$26:$B$64,MATCH(AE76,MarketData!$B$26:$B$64)+1),MarketData!$B$26)</f>
        <v>0</v>
      </c>
      <c r="AG76" s="169">
        <f>VLOOKUP(AE76,MarketData!$B$26:$D$43,3,0)/100</f>
        <v>6.5000000000000002E-2</v>
      </c>
      <c r="AH76" s="146">
        <f>IF(AF76=0,AG76,VLOOKUP(AF76,MarketData!$B$26:$D$43,3,0)/100)</f>
        <v>6.5000000000000002E-2</v>
      </c>
    </row>
    <row r="77" spans="2:34">
      <c r="B77" s="138"/>
      <c r="C77" s="10"/>
    </row>
    <row r="78" spans="2:34">
      <c r="B78" s="138"/>
      <c r="C78" s="10"/>
    </row>
    <row r="84" spans="1:16">
      <c r="P84" s="1"/>
    </row>
    <row r="85" spans="1:16" ht="16.899999999999999">
      <c r="A85" s="18"/>
      <c r="P85" s="19"/>
    </row>
    <row r="86" spans="1:16" ht="16.899999999999999">
      <c r="A86" s="18"/>
      <c r="P86" s="18"/>
    </row>
    <row r="87" spans="1:16" ht="16.899999999999999">
      <c r="A87" s="18"/>
      <c r="P87" s="18"/>
    </row>
  </sheetData>
  <pageMargins left="0" right="0" top="0" bottom="0" header="0.31496062992125984" footer="0.31496062992125984"/>
  <pageSetup paperSize="9" scale="30" orientation="landscape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2:AV47"/>
  <sheetViews>
    <sheetView workbookViewId="0">
      <selection activeCell="N44" sqref="N44"/>
    </sheetView>
  </sheetViews>
  <sheetFormatPr defaultRowHeight="14.25"/>
  <cols>
    <col min="1" max="1" width="15" bestFit="1" customWidth="1"/>
    <col min="2" max="5" width="12.73046875" bestFit="1" customWidth="1"/>
    <col min="6" max="8" width="12" bestFit="1" customWidth="1"/>
    <col min="9" max="13" width="12.73046875" bestFit="1" customWidth="1"/>
    <col min="14" max="16" width="12" bestFit="1" customWidth="1"/>
    <col min="17" max="21" width="12.73046875" bestFit="1" customWidth="1"/>
    <col min="22" max="24" width="12" bestFit="1" customWidth="1"/>
    <col min="25" max="29" width="12.73046875" bestFit="1" customWidth="1"/>
    <col min="30" max="32" width="12" bestFit="1" customWidth="1"/>
    <col min="33" max="37" width="12.73046875" bestFit="1" customWidth="1"/>
    <col min="38" max="40" width="12" bestFit="1" customWidth="1"/>
    <col min="41" max="45" width="12.73046875" bestFit="1" customWidth="1"/>
    <col min="46" max="48" width="12" bestFit="1" customWidth="1"/>
  </cols>
  <sheetData>
    <row r="2" spans="1:48">
      <c r="A2">
        <f>Pricer!B17</f>
        <v>137</v>
      </c>
      <c r="B2">
        <f>Pricer!C17</f>
        <v>137</v>
      </c>
      <c r="C2">
        <f>Pricer!D17</f>
        <v>137</v>
      </c>
      <c r="D2">
        <f>Pricer!E17</f>
        <v>137</v>
      </c>
      <c r="E2">
        <f>Pricer!F17</f>
        <v>137</v>
      </c>
      <c r="F2">
        <f>Pricer!G17</f>
        <v>137</v>
      </c>
      <c r="G2">
        <f>Pricer!H17</f>
        <v>137</v>
      </c>
      <c r="H2">
        <f>Pricer!I17</f>
        <v>137</v>
      </c>
      <c r="I2">
        <f>Pricer!J17</f>
        <v>127</v>
      </c>
      <c r="J2">
        <f>Pricer!K17</f>
        <v>127</v>
      </c>
      <c r="K2">
        <f>Pricer!L17</f>
        <v>127</v>
      </c>
      <c r="L2">
        <f>Pricer!M17</f>
        <v>127</v>
      </c>
      <c r="M2">
        <f>Pricer!N17</f>
        <v>127</v>
      </c>
      <c r="N2">
        <f>Pricer!O17</f>
        <v>127</v>
      </c>
      <c r="O2">
        <f>Pricer!P17</f>
        <v>127</v>
      </c>
      <c r="P2">
        <f>Pricer!Q17</f>
        <v>127</v>
      </c>
      <c r="Q2" s="24">
        <f>Pricer!R17</f>
        <v>125</v>
      </c>
      <c r="R2" s="24">
        <f>Pricer!S17</f>
        <v>125</v>
      </c>
      <c r="S2" s="24">
        <f>Pricer!T17</f>
        <v>125</v>
      </c>
      <c r="T2" s="24">
        <f>Pricer!U17</f>
        <v>125</v>
      </c>
      <c r="U2" s="24">
        <f>Pricer!V17</f>
        <v>125</v>
      </c>
      <c r="V2" s="24">
        <f>Pricer!W17</f>
        <v>125</v>
      </c>
      <c r="W2" s="24">
        <f>Pricer!X17</f>
        <v>125</v>
      </c>
      <c r="X2" s="24">
        <f>Pricer!Y17</f>
        <v>125</v>
      </c>
      <c r="Y2">
        <f>Pricer!Z17</f>
        <v>85</v>
      </c>
      <c r="Z2">
        <f>Pricer!AA17</f>
        <v>85</v>
      </c>
      <c r="AA2">
        <f>Pricer!AB17</f>
        <v>85</v>
      </c>
      <c r="AB2">
        <f>Pricer!AC17</f>
        <v>85</v>
      </c>
      <c r="AC2">
        <f>Pricer!AD17</f>
        <v>85</v>
      </c>
      <c r="AD2">
        <f>Pricer!AE17</f>
        <v>85</v>
      </c>
      <c r="AE2">
        <f>Pricer!AF17</f>
        <v>85</v>
      </c>
      <c r="AF2">
        <f>Pricer!AG17</f>
        <v>85</v>
      </c>
      <c r="AG2">
        <f>Pricer!AH17</f>
        <v>84</v>
      </c>
      <c r="AH2">
        <f>Pricer!AI17</f>
        <v>84</v>
      </c>
      <c r="AI2">
        <f>Pricer!AJ17</f>
        <v>84</v>
      </c>
      <c r="AJ2">
        <f>Pricer!AK17</f>
        <v>84</v>
      </c>
      <c r="AK2">
        <f>Pricer!AL17</f>
        <v>84</v>
      </c>
      <c r="AL2">
        <f>Pricer!AM17</f>
        <v>84</v>
      </c>
      <c r="AM2">
        <f>Pricer!AN17</f>
        <v>84</v>
      </c>
      <c r="AN2">
        <f>Pricer!AO17</f>
        <v>84</v>
      </c>
      <c r="AO2">
        <f>Pricer!AP17</f>
        <v>70</v>
      </c>
      <c r="AP2">
        <f>Pricer!AQ17</f>
        <v>70</v>
      </c>
      <c r="AQ2">
        <f>Pricer!AR17</f>
        <v>70</v>
      </c>
      <c r="AR2">
        <f>Pricer!AS17</f>
        <v>70</v>
      </c>
      <c r="AS2">
        <f>Pricer!AT17</f>
        <v>70</v>
      </c>
      <c r="AT2">
        <f>Pricer!AU17</f>
        <v>70</v>
      </c>
      <c r="AU2">
        <f>Pricer!AV17</f>
        <v>70</v>
      </c>
      <c r="AV2">
        <f>Pricer!AW17</f>
        <v>70</v>
      </c>
    </row>
    <row r="3" spans="1:48">
      <c r="A3" t="str">
        <f>Pricer!B18</f>
        <v>Sensex</v>
      </c>
      <c r="B3" t="str">
        <f>Pricer!C18</f>
        <v>Sensex</v>
      </c>
      <c r="C3" t="str">
        <f>Pricer!D18</f>
        <v>Sensex</v>
      </c>
      <c r="D3" t="str">
        <f>Pricer!E18</f>
        <v>Sensex</v>
      </c>
      <c r="E3" t="str">
        <f>Pricer!F18</f>
        <v>Sensex</v>
      </c>
      <c r="F3" t="str">
        <f>Pricer!G18</f>
        <v>Sensex</v>
      </c>
      <c r="G3" t="str">
        <f>Pricer!H18</f>
        <v>Sensex</v>
      </c>
      <c r="H3" t="str">
        <f>Pricer!I18</f>
        <v>Sensex</v>
      </c>
      <c r="I3" t="str">
        <f>Pricer!J18</f>
        <v>Sensex</v>
      </c>
      <c r="J3" t="str">
        <f>Pricer!K18</f>
        <v>Sensex</v>
      </c>
      <c r="K3" t="str">
        <f>Pricer!L18</f>
        <v>Sensex</v>
      </c>
      <c r="L3" t="str">
        <f>Pricer!M18</f>
        <v>Sensex</v>
      </c>
      <c r="M3" t="str">
        <f>Pricer!N18</f>
        <v>Sensex</v>
      </c>
      <c r="N3" t="str">
        <f>Pricer!O18</f>
        <v>Sensex</v>
      </c>
      <c r="O3" t="str">
        <f>Pricer!P18</f>
        <v>Sensex</v>
      </c>
      <c r="P3" t="str">
        <f>Pricer!Q18</f>
        <v>Sensex</v>
      </c>
      <c r="Q3" t="str">
        <f>Pricer!R18</f>
        <v>Sensex</v>
      </c>
      <c r="R3" t="str">
        <f>Pricer!S18</f>
        <v>Sensex</v>
      </c>
      <c r="S3" t="str">
        <f>Pricer!T18</f>
        <v>Sensex</v>
      </c>
      <c r="T3" t="str">
        <f>Pricer!U18</f>
        <v>Sensex</v>
      </c>
      <c r="U3" t="str">
        <f>Pricer!V18</f>
        <v>Sensex</v>
      </c>
      <c r="V3" t="str">
        <f>Pricer!W18</f>
        <v>Sensex</v>
      </c>
      <c r="W3" t="str">
        <f>Pricer!X18</f>
        <v>Sensex</v>
      </c>
      <c r="X3" t="str">
        <f>Pricer!Y18</f>
        <v>Sensex</v>
      </c>
      <c r="Y3" t="str">
        <f>Pricer!Z18</f>
        <v>Sensex</v>
      </c>
      <c r="Z3" t="str">
        <f>Pricer!AA18</f>
        <v>Sensex</v>
      </c>
      <c r="AA3" t="str">
        <f>Pricer!AB18</f>
        <v>Sensex</v>
      </c>
      <c r="AB3" t="str">
        <f>Pricer!AC18</f>
        <v>Sensex</v>
      </c>
      <c r="AC3" t="str">
        <f>Pricer!AD18</f>
        <v>Sensex</v>
      </c>
      <c r="AD3" t="str">
        <f>Pricer!AE18</f>
        <v>Sensex</v>
      </c>
      <c r="AE3" t="str">
        <f>Pricer!AF18</f>
        <v>Sensex</v>
      </c>
      <c r="AF3" t="str">
        <f>Pricer!AG18</f>
        <v>Sensex</v>
      </c>
      <c r="AG3" t="str">
        <f>Pricer!AH18</f>
        <v>Sensex</v>
      </c>
      <c r="AH3" t="str">
        <f>Pricer!AI18</f>
        <v>Sensex</v>
      </c>
      <c r="AI3" t="str">
        <f>Pricer!AJ18</f>
        <v>Sensex</v>
      </c>
      <c r="AJ3" t="str">
        <f>Pricer!AK18</f>
        <v>Sensex</v>
      </c>
      <c r="AK3" t="str">
        <f>Pricer!AL18</f>
        <v>Sensex</v>
      </c>
      <c r="AL3" t="str">
        <f>Pricer!AM18</f>
        <v>Sensex</v>
      </c>
      <c r="AM3" t="str">
        <f>Pricer!AN18</f>
        <v>Sensex</v>
      </c>
      <c r="AN3" t="str">
        <f>Pricer!AO18</f>
        <v>Sensex</v>
      </c>
      <c r="AO3" t="str">
        <f>Pricer!AP18</f>
        <v>Sensex</v>
      </c>
      <c r="AP3" t="str">
        <f>Pricer!AQ18</f>
        <v>Sensex</v>
      </c>
      <c r="AQ3" t="str">
        <f>Pricer!AR18</f>
        <v>Sensex</v>
      </c>
      <c r="AR3" t="str">
        <f>Pricer!AS18</f>
        <v>Sensex</v>
      </c>
      <c r="AS3" t="str">
        <f>Pricer!AT18</f>
        <v>Sensex</v>
      </c>
      <c r="AT3" t="str">
        <f>Pricer!AU18</f>
        <v>Sensex</v>
      </c>
      <c r="AU3" t="str">
        <f>Pricer!AV18</f>
        <v>Sensex</v>
      </c>
      <c r="AV3" t="str">
        <f>Pricer!AW18</f>
        <v>Sensex</v>
      </c>
    </row>
    <row r="4" spans="1:48">
      <c r="A4" s="24">
        <f>Pricer!B19</f>
        <v>105901</v>
      </c>
      <c r="B4" s="24">
        <f>Pricer!C19</f>
        <v>105901</v>
      </c>
      <c r="C4" s="24">
        <f>Pricer!D19</f>
        <v>105901</v>
      </c>
      <c r="D4" s="24">
        <f>Pricer!E19</f>
        <v>105901</v>
      </c>
      <c r="E4" s="24">
        <f>Pricer!F19</f>
        <v>105901</v>
      </c>
      <c r="F4" s="24">
        <f>Pricer!G19</f>
        <v>105901</v>
      </c>
      <c r="G4" s="24">
        <f>Pricer!H19</f>
        <v>105901</v>
      </c>
      <c r="H4" s="24">
        <f>Pricer!I19</f>
        <v>105901</v>
      </c>
      <c r="I4" s="24">
        <f>Pricer!J19</f>
        <v>98171</v>
      </c>
      <c r="J4" s="24">
        <f>Pricer!K19</f>
        <v>98171</v>
      </c>
      <c r="K4" s="24">
        <f>Pricer!L19</f>
        <v>98171</v>
      </c>
      <c r="L4" s="24">
        <f>Pricer!M19</f>
        <v>98171</v>
      </c>
      <c r="M4" s="24">
        <f>Pricer!N19</f>
        <v>98171</v>
      </c>
      <c r="N4" s="24">
        <f>Pricer!O19</f>
        <v>98171</v>
      </c>
      <c r="O4" s="24">
        <f>Pricer!P19</f>
        <v>98171</v>
      </c>
      <c r="P4" s="24">
        <f>Pricer!Q19</f>
        <v>98171</v>
      </c>
      <c r="Q4" s="24">
        <f>Pricer!R19</f>
        <v>96625</v>
      </c>
      <c r="R4" s="24">
        <f>Pricer!S19</f>
        <v>96625</v>
      </c>
      <c r="S4" s="24">
        <f>Pricer!T19</f>
        <v>96625</v>
      </c>
      <c r="T4" s="24">
        <f>Pricer!U19</f>
        <v>96625</v>
      </c>
      <c r="U4" s="24">
        <f>Pricer!V19</f>
        <v>96625</v>
      </c>
      <c r="V4" s="24">
        <f>Pricer!W19</f>
        <v>96625</v>
      </c>
      <c r="W4" s="24">
        <f>Pricer!X19</f>
        <v>96625</v>
      </c>
      <c r="X4" s="24">
        <f>Pricer!Y19</f>
        <v>96625</v>
      </c>
      <c r="Y4" s="24">
        <f>Pricer!Z19</f>
        <v>65705</v>
      </c>
      <c r="Z4" s="24">
        <f>Pricer!AA19</f>
        <v>65705</v>
      </c>
      <c r="AA4" s="24">
        <f>Pricer!AB19</f>
        <v>65705</v>
      </c>
      <c r="AB4" s="24">
        <f>Pricer!AC19</f>
        <v>65705</v>
      </c>
      <c r="AC4" s="24">
        <f>Pricer!AD19</f>
        <v>65705</v>
      </c>
      <c r="AD4" s="24">
        <f>Pricer!AE19</f>
        <v>65705</v>
      </c>
      <c r="AE4" s="24">
        <f>Pricer!AF19</f>
        <v>65705</v>
      </c>
      <c r="AF4" s="24">
        <f>Pricer!AG19</f>
        <v>65705</v>
      </c>
      <c r="AG4" s="24">
        <f>Pricer!AH19</f>
        <v>64932</v>
      </c>
      <c r="AH4" s="24">
        <f>Pricer!AI19</f>
        <v>64932</v>
      </c>
      <c r="AI4" s="24">
        <f>Pricer!AJ19</f>
        <v>64932</v>
      </c>
      <c r="AJ4" s="24">
        <f>Pricer!AK19</f>
        <v>64932</v>
      </c>
      <c r="AK4" s="24">
        <f>Pricer!AL19</f>
        <v>64932</v>
      </c>
      <c r="AL4" s="24">
        <f>Pricer!AM19</f>
        <v>64932</v>
      </c>
      <c r="AM4" s="24">
        <f>Pricer!AN19</f>
        <v>64932</v>
      </c>
      <c r="AN4" s="24">
        <f>Pricer!AO19</f>
        <v>64932</v>
      </c>
      <c r="AO4" s="36">
        <f>Pricer!AP19</f>
        <v>54110</v>
      </c>
      <c r="AP4" s="36">
        <f>Pricer!AQ19</f>
        <v>54110</v>
      </c>
      <c r="AQ4" s="36">
        <f>Pricer!AR19</f>
        <v>54110</v>
      </c>
      <c r="AR4" s="36">
        <f>Pricer!AS19</f>
        <v>54110</v>
      </c>
      <c r="AS4" s="36">
        <f>Pricer!AT19</f>
        <v>54110</v>
      </c>
      <c r="AT4" s="36">
        <f>Pricer!AU19</f>
        <v>54110</v>
      </c>
      <c r="AU4" s="36">
        <f>Pricer!AV19</f>
        <v>54110</v>
      </c>
      <c r="AV4" s="36">
        <f>Pricer!AW19</f>
        <v>54110</v>
      </c>
    </row>
    <row r="5" spans="1:48">
      <c r="A5" s="3">
        <f>Pricer!B20</f>
        <v>47514</v>
      </c>
      <c r="B5" s="3">
        <f>Pricer!C20</f>
        <v>47598</v>
      </c>
      <c r="C5" s="3">
        <f>Pricer!D20</f>
        <v>47689</v>
      </c>
      <c r="D5" s="3">
        <f>Pricer!E20</f>
        <v>47787</v>
      </c>
      <c r="E5" s="3">
        <f>Pricer!F20</f>
        <v>47878</v>
      </c>
      <c r="F5" s="3">
        <f>Pricer!G20</f>
        <v>47962</v>
      </c>
      <c r="G5" s="3">
        <f>Pricer!H20</f>
        <v>47962</v>
      </c>
      <c r="H5" s="3">
        <f>Pricer!I20</f>
        <v>47962</v>
      </c>
      <c r="I5" s="3">
        <f>Pricer!J20</f>
        <v>47514</v>
      </c>
      <c r="J5" s="3">
        <f>Pricer!K20</f>
        <v>47598</v>
      </c>
      <c r="K5" s="3">
        <f>Pricer!L20</f>
        <v>47689</v>
      </c>
      <c r="L5" s="3">
        <f>Pricer!M20</f>
        <v>47787</v>
      </c>
      <c r="M5" s="3">
        <f>Pricer!N20</f>
        <v>47878</v>
      </c>
      <c r="N5" s="3">
        <f>Pricer!O20</f>
        <v>47962</v>
      </c>
      <c r="O5" s="3">
        <f>Pricer!P20</f>
        <v>47962</v>
      </c>
      <c r="P5" s="3">
        <f>Pricer!Q20</f>
        <v>47962</v>
      </c>
      <c r="Q5" s="3">
        <f>Pricer!R20</f>
        <v>47514</v>
      </c>
      <c r="R5" s="3">
        <f>Pricer!S20</f>
        <v>47598</v>
      </c>
      <c r="S5" s="3">
        <f>Pricer!T20</f>
        <v>47689</v>
      </c>
      <c r="T5" s="3">
        <f>Pricer!U20</f>
        <v>47787</v>
      </c>
      <c r="U5" s="3">
        <f>Pricer!V20</f>
        <v>47878</v>
      </c>
      <c r="V5" s="3">
        <f>Pricer!W20</f>
        <v>47962</v>
      </c>
      <c r="W5" s="3">
        <f>Pricer!X20</f>
        <v>47962</v>
      </c>
      <c r="X5" s="3">
        <f>Pricer!Y20</f>
        <v>47962</v>
      </c>
      <c r="Y5" s="3">
        <f>Pricer!Z20</f>
        <v>47514</v>
      </c>
      <c r="Z5" s="3">
        <f>Pricer!AA20</f>
        <v>47598</v>
      </c>
      <c r="AA5" s="3">
        <f>Pricer!AB20</f>
        <v>47689</v>
      </c>
      <c r="AB5" s="3">
        <f>Pricer!AC20</f>
        <v>47787</v>
      </c>
      <c r="AC5" s="3">
        <f>Pricer!AD20</f>
        <v>47878</v>
      </c>
      <c r="AD5" s="3">
        <f>Pricer!AE20</f>
        <v>47962</v>
      </c>
      <c r="AE5" s="3">
        <f>Pricer!AF20</f>
        <v>47962</v>
      </c>
      <c r="AF5" s="3">
        <f>Pricer!AG20</f>
        <v>47962</v>
      </c>
      <c r="AG5" s="3">
        <f>Pricer!AH20</f>
        <v>47514</v>
      </c>
      <c r="AH5" s="3">
        <f>Pricer!AI20</f>
        <v>47598</v>
      </c>
      <c r="AI5" s="3">
        <f>Pricer!AJ20</f>
        <v>47689</v>
      </c>
      <c r="AJ5" s="3">
        <f>Pricer!AK20</f>
        <v>47787</v>
      </c>
      <c r="AK5" s="3">
        <f>Pricer!AL20</f>
        <v>47878</v>
      </c>
      <c r="AL5" s="3">
        <f>Pricer!AM20</f>
        <v>47962</v>
      </c>
      <c r="AM5" s="3">
        <f>Pricer!AN20</f>
        <v>47962</v>
      </c>
      <c r="AN5" s="3">
        <f>Pricer!AO20</f>
        <v>47962</v>
      </c>
      <c r="AO5" s="3">
        <f>Pricer!AP20</f>
        <v>47514</v>
      </c>
      <c r="AP5" s="3">
        <f>Pricer!AQ20</f>
        <v>47598</v>
      </c>
      <c r="AQ5" s="3">
        <f>Pricer!AR20</f>
        <v>47689</v>
      </c>
      <c r="AR5" s="3">
        <f>Pricer!AS20</f>
        <v>47787</v>
      </c>
      <c r="AS5" s="3">
        <f>Pricer!AT20</f>
        <v>47878</v>
      </c>
      <c r="AT5" s="3">
        <f>Pricer!AU20</f>
        <v>47962</v>
      </c>
      <c r="AU5" s="3">
        <f>Pricer!AV20</f>
        <v>47962</v>
      </c>
      <c r="AV5" s="3">
        <f>Pricer!AW20</f>
        <v>47962</v>
      </c>
    </row>
    <row r="6" spans="1:48">
      <c r="A6" s="3">
        <f>Pricer!B21</f>
        <v>46021</v>
      </c>
      <c r="B6" s="3">
        <f>Pricer!C21</f>
        <v>46021</v>
      </c>
      <c r="C6" s="3">
        <f>Pricer!D21</f>
        <v>46021</v>
      </c>
      <c r="D6" s="3">
        <f>Pricer!E21</f>
        <v>46021</v>
      </c>
      <c r="E6" s="3">
        <f>Pricer!F21</f>
        <v>46021</v>
      </c>
      <c r="F6" s="3">
        <f>Pricer!G21</f>
        <v>46021</v>
      </c>
      <c r="G6" s="3">
        <f>Pricer!H21</f>
        <v>46021</v>
      </c>
      <c r="H6" s="3">
        <f>Pricer!I21</f>
        <v>46021</v>
      </c>
      <c r="I6" s="3">
        <f>Pricer!J21</f>
        <v>46021</v>
      </c>
      <c r="J6" s="3">
        <f>Pricer!K21</f>
        <v>46021</v>
      </c>
      <c r="K6" s="3">
        <f>Pricer!L21</f>
        <v>46021</v>
      </c>
      <c r="L6" s="3">
        <f>Pricer!M21</f>
        <v>46021</v>
      </c>
      <c r="M6" s="3">
        <f>Pricer!N21</f>
        <v>46021</v>
      </c>
      <c r="N6" s="3">
        <f>Pricer!O21</f>
        <v>46021</v>
      </c>
      <c r="O6" s="3">
        <f>Pricer!P21</f>
        <v>46021</v>
      </c>
      <c r="P6" s="3">
        <f>Pricer!Q21</f>
        <v>46021</v>
      </c>
      <c r="Q6" s="3">
        <f>Pricer!R21</f>
        <v>46021</v>
      </c>
      <c r="R6" s="3">
        <f>Pricer!S21</f>
        <v>46021</v>
      </c>
      <c r="S6" s="3">
        <f>Pricer!T21</f>
        <v>46021</v>
      </c>
      <c r="T6" s="3">
        <f>Pricer!U21</f>
        <v>46021</v>
      </c>
      <c r="U6" s="3">
        <f>Pricer!V21</f>
        <v>46021</v>
      </c>
      <c r="V6" s="3">
        <f>Pricer!W21</f>
        <v>46021</v>
      </c>
      <c r="W6" s="3">
        <f>Pricer!X21</f>
        <v>46021</v>
      </c>
      <c r="X6" s="3">
        <f>Pricer!Y21</f>
        <v>46021</v>
      </c>
      <c r="Y6" s="3">
        <f>Pricer!Z21</f>
        <v>46021</v>
      </c>
      <c r="Z6" s="3">
        <f>Pricer!AA21</f>
        <v>46021</v>
      </c>
      <c r="AA6" s="3">
        <f>Pricer!AB21</f>
        <v>46021</v>
      </c>
      <c r="AB6" s="3">
        <f>Pricer!AC21</f>
        <v>46021</v>
      </c>
      <c r="AC6" s="3">
        <f>Pricer!AD21</f>
        <v>46021</v>
      </c>
      <c r="AD6" s="3">
        <f>Pricer!AE21</f>
        <v>46021</v>
      </c>
      <c r="AE6" s="3">
        <f>Pricer!AF21</f>
        <v>46021</v>
      </c>
      <c r="AF6" s="3">
        <f>Pricer!AG21</f>
        <v>46021</v>
      </c>
      <c r="AG6" s="3">
        <f>Pricer!AH21</f>
        <v>46021</v>
      </c>
      <c r="AH6" s="3">
        <f>Pricer!AI21</f>
        <v>46021</v>
      </c>
      <c r="AI6" s="3">
        <f>Pricer!AJ21</f>
        <v>46021</v>
      </c>
      <c r="AJ6" s="3">
        <f>Pricer!AK21</f>
        <v>46021</v>
      </c>
      <c r="AK6" s="3">
        <f>Pricer!AL21</f>
        <v>46021</v>
      </c>
      <c r="AL6" s="3">
        <f>Pricer!AM21</f>
        <v>46021</v>
      </c>
      <c r="AM6" s="3">
        <f>Pricer!AN21</f>
        <v>46021</v>
      </c>
      <c r="AN6" s="3">
        <f>Pricer!AO21</f>
        <v>46021</v>
      </c>
      <c r="AO6" s="3">
        <f>Pricer!AP21</f>
        <v>46021</v>
      </c>
      <c r="AP6" s="3">
        <f>Pricer!AQ21</f>
        <v>46021</v>
      </c>
      <c r="AQ6" s="3">
        <f>Pricer!AR21</f>
        <v>46021</v>
      </c>
      <c r="AR6" s="3">
        <f>Pricer!AS21</f>
        <v>46021</v>
      </c>
      <c r="AS6" s="3">
        <f>Pricer!AT21</f>
        <v>46021</v>
      </c>
      <c r="AT6" s="3">
        <f>Pricer!AU21</f>
        <v>46021</v>
      </c>
      <c r="AU6" s="3">
        <f>Pricer!AV21</f>
        <v>46021</v>
      </c>
      <c r="AV6" s="3">
        <f>Pricer!AW21</f>
        <v>46021</v>
      </c>
    </row>
    <row r="7" spans="1:48">
      <c r="A7" s="17">
        <f>Pricer!B22</f>
        <v>0</v>
      </c>
      <c r="B7" s="17">
        <f>Pricer!C22</f>
        <v>0</v>
      </c>
      <c r="C7" s="17">
        <f>Pricer!D22</f>
        <v>0</v>
      </c>
      <c r="D7" s="17">
        <f>Pricer!E22</f>
        <v>0</v>
      </c>
      <c r="E7" s="17">
        <f>Pricer!F22</f>
        <v>0</v>
      </c>
      <c r="F7" s="17">
        <f>Pricer!G22</f>
        <v>0</v>
      </c>
      <c r="G7" s="17">
        <f>Pricer!H22</f>
        <v>0</v>
      </c>
      <c r="H7" s="17">
        <f>Pricer!I22</f>
        <v>0</v>
      </c>
      <c r="I7" s="17">
        <f>Pricer!J22</f>
        <v>0</v>
      </c>
      <c r="J7" s="17">
        <f>Pricer!K22</f>
        <v>0</v>
      </c>
      <c r="K7" s="17">
        <f>Pricer!L22</f>
        <v>0</v>
      </c>
      <c r="L7" s="17">
        <f>Pricer!M22</f>
        <v>0</v>
      </c>
      <c r="M7" s="17">
        <f>Pricer!N22</f>
        <v>0</v>
      </c>
      <c r="N7" s="17">
        <f>Pricer!O22</f>
        <v>0</v>
      </c>
      <c r="O7" s="17">
        <f>Pricer!P22</f>
        <v>0</v>
      </c>
      <c r="P7" s="17">
        <f>Pricer!Q22</f>
        <v>0</v>
      </c>
      <c r="Q7" s="17">
        <f>Pricer!R22</f>
        <v>0</v>
      </c>
      <c r="R7" s="17">
        <f>Pricer!S22</f>
        <v>0</v>
      </c>
      <c r="S7" s="17">
        <f>Pricer!T22</f>
        <v>0</v>
      </c>
      <c r="T7" s="17">
        <f>Pricer!U22</f>
        <v>0</v>
      </c>
      <c r="U7" s="17">
        <f>Pricer!V22</f>
        <v>0</v>
      </c>
      <c r="V7" s="17">
        <f>Pricer!W22</f>
        <v>0</v>
      </c>
      <c r="W7" s="17">
        <f>Pricer!X22</f>
        <v>0</v>
      </c>
      <c r="X7" s="17">
        <f>Pricer!Y22</f>
        <v>0</v>
      </c>
      <c r="Y7" s="17">
        <f>Pricer!Z22</f>
        <v>0</v>
      </c>
      <c r="Z7" s="17">
        <f>Pricer!AA22</f>
        <v>0</v>
      </c>
      <c r="AA7" s="17">
        <f>Pricer!AB22</f>
        <v>0</v>
      </c>
      <c r="AB7" s="17">
        <f>Pricer!AC22</f>
        <v>0</v>
      </c>
      <c r="AC7" s="17">
        <f>Pricer!AD22</f>
        <v>0</v>
      </c>
      <c r="AD7" s="17">
        <f>Pricer!AE22</f>
        <v>0</v>
      </c>
      <c r="AE7" s="17">
        <f>Pricer!AF22</f>
        <v>0</v>
      </c>
      <c r="AF7" s="17">
        <f>Pricer!AG22</f>
        <v>0</v>
      </c>
      <c r="AG7" s="17">
        <f>Pricer!AH22</f>
        <v>0</v>
      </c>
      <c r="AH7" s="17">
        <f>Pricer!AI22</f>
        <v>0</v>
      </c>
      <c r="AI7" s="17">
        <f>Pricer!AJ22</f>
        <v>0</v>
      </c>
      <c r="AJ7" s="17">
        <f>Pricer!AK22</f>
        <v>0</v>
      </c>
      <c r="AK7" s="17">
        <f>Pricer!AL22</f>
        <v>0</v>
      </c>
      <c r="AL7" s="17">
        <f>Pricer!AM22</f>
        <v>0</v>
      </c>
      <c r="AM7" s="17">
        <f>Pricer!AN22</f>
        <v>0</v>
      </c>
      <c r="AN7" s="17">
        <f>Pricer!AO22</f>
        <v>0</v>
      </c>
      <c r="AO7" s="17">
        <f>Pricer!AP22</f>
        <v>0</v>
      </c>
      <c r="AP7" s="17">
        <f>Pricer!AQ22</f>
        <v>0</v>
      </c>
      <c r="AQ7" s="17">
        <f>Pricer!AR22</f>
        <v>0</v>
      </c>
      <c r="AR7" s="17">
        <f>Pricer!AS22</f>
        <v>0</v>
      </c>
      <c r="AS7" s="17">
        <f>Pricer!AT22</f>
        <v>0</v>
      </c>
      <c r="AT7" s="17">
        <f>Pricer!AU22</f>
        <v>0</v>
      </c>
      <c r="AU7" s="17">
        <f>Pricer!AV22</f>
        <v>0</v>
      </c>
      <c r="AV7" s="17">
        <f>Pricer!AW22</f>
        <v>0</v>
      </c>
    </row>
    <row r="8" spans="1:48">
      <c r="A8" s="8">
        <f>Pricer!B23</f>
        <v>6.5000000000000002E-2</v>
      </c>
      <c r="B8" s="8">
        <f>Pricer!C23</f>
        <v>6.5000000000000002E-2</v>
      </c>
      <c r="C8" s="8">
        <f>Pricer!D23</f>
        <v>6.5000000000000002E-2</v>
      </c>
      <c r="D8" s="8">
        <f>Pricer!E23</f>
        <v>6.5000000000000002E-2</v>
      </c>
      <c r="E8" s="8">
        <f>Pricer!F23</f>
        <v>6.5000000000000002E-2</v>
      </c>
      <c r="F8" s="8">
        <f>Pricer!G23</f>
        <v>6.5000000000000002E-2</v>
      </c>
      <c r="G8" s="8">
        <f>Pricer!H23</f>
        <v>6.5000000000000002E-2</v>
      </c>
      <c r="H8" s="8">
        <f>Pricer!I23</f>
        <v>6.5000000000000002E-2</v>
      </c>
      <c r="I8" s="8">
        <f>Pricer!J23</f>
        <v>6.5000000000000002E-2</v>
      </c>
      <c r="J8" s="8">
        <f>Pricer!K23</f>
        <v>6.5000000000000002E-2</v>
      </c>
      <c r="K8" s="8">
        <f>Pricer!L23</f>
        <v>6.5000000000000002E-2</v>
      </c>
      <c r="L8" s="8">
        <f>Pricer!M23</f>
        <v>6.5000000000000002E-2</v>
      </c>
      <c r="M8" s="8">
        <f>Pricer!N23</f>
        <v>6.5000000000000002E-2</v>
      </c>
      <c r="N8" s="8">
        <f>Pricer!O23</f>
        <v>6.5000000000000002E-2</v>
      </c>
      <c r="O8" s="8">
        <f>Pricer!P23</f>
        <v>6.5000000000000002E-2</v>
      </c>
      <c r="P8" s="8">
        <f>Pricer!Q23</f>
        <v>6.5000000000000002E-2</v>
      </c>
      <c r="Q8" s="8">
        <f>Pricer!R23</f>
        <v>6.5000000000000002E-2</v>
      </c>
      <c r="R8" s="8">
        <f>Pricer!S23</f>
        <v>6.5000000000000002E-2</v>
      </c>
      <c r="S8" s="8">
        <f>Pricer!T23</f>
        <v>6.5000000000000002E-2</v>
      </c>
      <c r="T8" s="8">
        <f>Pricer!U23</f>
        <v>6.5000000000000002E-2</v>
      </c>
      <c r="U8" s="8">
        <f>Pricer!V23</f>
        <v>6.5000000000000002E-2</v>
      </c>
      <c r="V8" s="8">
        <f>Pricer!W23</f>
        <v>6.5000000000000002E-2</v>
      </c>
      <c r="W8" s="8">
        <f>Pricer!X23</f>
        <v>6.5000000000000002E-2</v>
      </c>
      <c r="X8" s="8">
        <f>Pricer!Y23</f>
        <v>6.5000000000000002E-2</v>
      </c>
      <c r="Y8" s="8">
        <f>Pricer!Z23</f>
        <v>6.5000000000000002E-2</v>
      </c>
      <c r="Z8" s="8">
        <f>Pricer!AA23</f>
        <v>6.5000000000000002E-2</v>
      </c>
      <c r="AA8" s="8">
        <f>Pricer!AB23</f>
        <v>6.5000000000000002E-2</v>
      </c>
      <c r="AB8" s="8">
        <f>Pricer!AC23</f>
        <v>6.5000000000000002E-2</v>
      </c>
      <c r="AC8" s="8">
        <f>Pricer!AD23</f>
        <v>6.5000000000000002E-2</v>
      </c>
      <c r="AD8" s="8">
        <f>Pricer!AE23</f>
        <v>6.5000000000000002E-2</v>
      </c>
      <c r="AE8" s="8">
        <f>Pricer!AF23</f>
        <v>6.5000000000000002E-2</v>
      </c>
      <c r="AF8" s="8">
        <f>Pricer!AG23</f>
        <v>6.5000000000000002E-2</v>
      </c>
      <c r="AG8" s="8">
        <f>Pricer!AH23</f>
        <v>6.5000000000000002E-2</v>
      </c>
      <c r="AH8" s="8">
        <f>Pricer!AI23</f>
        <v>6.5000000000000002E-2</v>
      </c>
      <c r="AI8" s="8">
        <f>Pricer!AJ23</f>
        <v>6.5000000000000002E-2</v>
      </c>
      <c r="AJ8" s="8">
        <f>Pricer!AK23</f>
        <v>6.5000000000000002E-2</v>
      </c>
      <c r="AK8" s="8">
        <f>Pricer!AL23</f>
        <v>6.5000000000000002E-2</v>
      </c>
      <c r="AL8" s="8">
        <f>Pricer!AM23</f>
        <v>6.5000000000000002E-2</v>
      </c>
      <c r="AM8" s="8">
        <f>Pricer!AN23</f>
        <v>6.5000000000000002E-2</v>
      </c>
      <c r="AN8" s="8">
        <f>Pricer!AO23</f>
        <v>6.5000000000000002E-2</v>
      </c>
      <c r="AO8" s="8">
        <f>Pricer!AP23</f>
        <v>6.5000000000000002E-2</v>
      </c>
      <c r="AP8" s="8">
        <f>Pricer!AQ23</f>
        <v>6.5000000000000002E-2</v>
      </c>
      <c r="AQ8" s="8">
        <f>Pricer!AR23</f>
        <v>6.5000000000000002E-2</v>
      </c>
      <c r="AR8" s="8">
        <f>Pricer!AS23</f>
        <v>6.5000000000000002E-2</v>
      </c>
      <c r="AS8" s="8">
        <f>Pricer!AT23</f>
        <v>6.5000000000000002E-2</v>
      </c>
      <c r="AT8" s="8">
        <f>Pricer!AU23</f>
        <v>6.5000000000000002E-2</v>
      </c>
      <c r="AU8" s="8">
        <f>Pricer!AV23</f>
        <v>6.5000000000000002E-2</v>
      </c>
      <c r="AV8" s="8">
        <f>Pricer!AW23</f>
        <v>6.5000000000000002E-2</v>
      </c>
    </row>
    <row r="9" spans="1:48">
      <c r="A9" s="8">
        <f>Pricer!B24</f>
        <v>6.5000000000000002E-2</v>
      </c>
      <c r="B9" s="8">
        <f>Pricer!C24</f>
        <v>6.5000000000000002E-2</v>
      </c>
      <c r="C9" s="8">
        <f>Pricer!D24</f>
        <v>6.5000000000000002E-2</v>
      </c>
      <c r="D9" s="8">
        <f>Pricer!E24</f>
        <v>6.5000000000000002E-2</v>
      </c>
      <c r="E9" s="8">
        <f>Pricer!F24</f>
        <v>6.5000000000000002E-2</v>
      </c>
      <c r="F9" s="8">
        <f>Pricer!G24</f>
        <v>6.5000000000000002E-2</v>
      </c>
      <c r="G9" s="8">
        <f>Pricer!H24</f>
        <v>6.5000000000000002E-2</v>
      </c>
      <c r="H9" s="8">
        <f>Pricer!I24</f>
        <v>6.5000000000000002E-2</v>
      </c>
      <c r="I9" s="8">
        <f>Pricer!J24</f>
        <v>6.5000000000000002E-2</v>
      </c>
      <c r="J9" s="8">
        <f>Pricer!K24</f>
        <v>6.5000000000000002E-2</v>
      </c>
      <c r="K9" s="8">
        <f>Pricer!L24</f>
        <v>6.5000000000000002E-2</v>
      </c>
      <c r="L9" s="8">
        <f>Pricer!M24</f>
        <v>6.5000000000000002E-2</v>
      </c>
      <c r="M9" s="8">
        <f>Pricer!N24</f>
        <v>6.5000000000000002E-2</v>
      </c>
      <c r="N9" s="8">
        <f>Pricer!O24</f>
        <v>6.5000000000000002E-2</v>
      </c>
      <c r="O9" s="8">
        <f>Pricer!P24</f>
        <v>6.5000000000000002E-2</v>
      </c>
      <c r="P9" s="8">
        <f>Pricer!Q24</f>
        <v>6.5000000000000002E-2</v>
      </c>
      <c r="Q9" s="8">
        <f>Pricer!R24</f>
        <v>6.5000000000000002E-2</v>
      </c>
      <c r="R9" s="8">
        <f>Pricer!S24</f>
        <v>6.5000000000000002E-2</v>
      </c>
      <c r="S9" s="8">
        <f>Pricer!T24</f>
        <v>6.5000000000000002E-2</v>
      </c>
      <c r="T9" s="8">
        <f>Pricer!U24</f>
        <v>6.5000000000000002E-2</v>
      </c>
      <c r="U9" s="8">
        <f>Pricer!V24</f>
        <v>6.5000000000000002E-2</v>
      </c>
      <c r="V9" s="8">
        <f>Pricer!W24</f>
        <v>6.5000000000000002E-2</v>
      </c>
      <c r="W9" s="8">
        <f>Pricer!X24</f>
        <v>6.5000000000000002E-2</v>
      </c>
      <c r="X9" s="8">
        <f>Pricer!Y24</f>
        <v>6.5000000000000002E-2</v>
      </c>
      <c r="Y9" s="8">
        <f>Pricer!Z24</f>
        <v>6.5000000000000002E-2</v>
      </c>
      <c r="Z9" s="8">
        <f>Pricer!AA24</f>
        <v>6.5000000000000002E-2</v>
      </c>
      <c r="AA9" s="8">
        <f>Pricer!AB24</f>
        <v>6.5000000000000002E-2</v>
      </c>
      <c r="AB9" s="8">
        <f>Pricer!AC24</f>
        <v>6.5000000000000002E-2</v>
      </c>
      <c r="AC9" s="8">
        <f>Pricer!AD24</f>
        <v>6.5000000000000002E-2</v>
      </c>
      <c r="AD9" s="8">
        <f>Pricer!AE24</f>
        <v>6.5000000000000002E-2</v>
      </c>
      <c r="AE9" s="8">
        <f>Pricer!AF24</f>
        <v>6.5000000000000002E-2</v>
      </c>
      <c r="AF9" s="8">
        <f>Pricer!AG24</f>
        <v>6.5000000000000002E-2</v>
      </c>
      <c r="AG9" s="8">
        <f>Pricer!AH24</f>
        <v>6.5000000000000002E-2</v>
      </c>
      <c r="AH9" s="8">
        <f>Pricer!AI24</f>
        <v>6.5000000000000002E-2</v>
      </c>
      <c r="AI9" s="8">
        <f>Pricer!AJ24</f>
        <v>6.5000000000000002E-2</v>
      </c>
      <c r="AJ9" s="8">
        <f>Pricer!AK24</f>
        <v>6.5000000000000002E-2</v>
      </c>
      <c r="AK9" s="8">
        <f>Pricer!AL24</f>
        <v>6.5000000000000002E-2</v>
      </c>
      <c r="AL9" s="8">
        <f>Pricer!AM24</f>
        <v>6.5000000000000002E-2</v>
      </c>
      <c r="AM9" s="8">
        <f>Pricer!AN24</f>
        <v>6.5000000000000002E-2</v>
      </c>
      <c r="AN9" s="8">
        <f>Pricer!AO24</f>
        <v>6.5000000000000002E-2</v>
      </c>
      <c r="AO9" s="8">
        <f>Pricer!AP24</f>
        <v>6.5000000000000002E-2</v>
      </c>
      <c r="AP9" s="8">
        <f>Pricer!AQ24</f>
        <v>6.5000000000000002E-2</v>
      </c>
      <c r="AQ9" s="8">
        <f>Pricer!AR24</f>
        <v>6.5000000000000002E-2</v>
      </c>
      <c r="AR9" s="8">
        <f>Pricer!AS24</f>
        <v>6.5000000000000002E-2</v>
      </c>
      <c r="AS9" s="8">
        <f>Pricer!AT24</f>
        <v>6.5000000000000002E-2</v>
      </c>
      <c r="AT9" s="8">
        <f>Pricer!AU24</f>
        <v>6.5000000000000002E-2</v>
      </c>
      <c r="AU9" s="8">
        <f>Pricer!AV24</f>
        <v>6.5000000000000002E-2</v>
      </c>
      <c r="AV9" s="8">
        <f>Pricer!AW24</f>
        <v>6.5000000000000002E-2</v>
      </c>
    </row>
    <row r="10" spans="1:48">
      <c r="A10" t="str">
        <f>Pricer!B25</f>
        <v>P</v>
      </c>
      <c r="B10" t="str">
        <f>Pricer!C25</f>
        <v>P</v>
      </c>
      <c r="C10" t="str">
        <f>Pricer!D25</f>
        <v>P</v>
      </c>
      <c r="D10" t="str">
        <f>Pricer!E25</f>
        <v>P</v>
      </c>
      <c r="E10" t="str">
        <f>Pricer!F25</f>
        <v>P</v>
      </c>
      <c r="F10" t="str">
        <f>Pricer!G25</f>
        <v>P</v>
      </c>
      <c r="G10" t="str">
        <f>Pricer!H25</f>
        <v/>
      </c>
      <c r="H10" t="str">
        <f>Pricer!I25</f>
        <v/>
      </c>
      <c r="I10" t="str">
        <f>Pricer!J25</f>
        <v>P</v>
      </c>
      <c r="J10" t="str">
        <f>Pricer!K25</f>
        <v>P</v>
      </c>
      <c r="K10" t="str">
        <f>Pricer!L25</f>
        <v>P</v>
      </c>
      <c r="L10" t="str">
        <f>Pricer!M25</f>
        <v>P</v>
      </c>
      <c r="M10" t="str">
        <f>Pricer!N25</f>
        <v>P</v>
      </c>
      <c r="N10" t="str">
        <f>Pricer!O25</f>
        <v>P</v>
      </c>
      <c r="O10" t="str">
        <f>Pricer!P25</f>
        <v/>
      </c>
      <c r="P10" t="str">
        <f>Pricer!Q25</f>
        <v/>
      </c>
      <c r="Q10" t="str">
        <f>Pricer!R25</f>
        <v>P</v>
      </c>
      <c r="R10" t="str">
        <f>Pricer!S25</f>
        <v>P</v>
      </c>
      <c r="S10" t="str">
        <f>Pricer!T25</f>
        <v>P</v>
      </c>
      <c r="T10" t="str">
        <f>Pricer!U25</f>
        <v>P</v>
      </c>
      <c r="U10" t="str">
        <f>Pricer!V25</f>
        <v>P</v>
      </c>
      <c r="V10" t="str">
        <f>Pricer!W25</f>
        <v>P</v>
      </c>
      <c r="W10" t="str">
        <f>Pricer!X25</f>
        <v/>
      </c>
      <c r="X10" t="str">
        <f>Pricer!Y25</f>
        <v/>
      </c>
      <c r="Y10" t="str">
        <f>Pricer!Z25</f>
        <v>P</v>
      </c>
      <c r="Z10" t="str">
        <f>Pricer!AA25</f>
        <v>P</v>
      </c>
      <c r="AA10" t="str">
        <f>Pricer!AB25</f>
        <v>P</v>
      </c>
      <c r="AB10" t="str">
        <f>Pricer!AC25</f>
        <v>P</v>
      </c>
      <c r="AC10" t="str">
        <f>Pricer!AD25</f>
        <v>P</v>
      </c>
      <c r="AD10" t="str">
        <f>Pricer!AE25</f>
        <v>P</v>
      </c>
      <c r="AE10" t="str">
        <f>Pricer!AF25</f>
        <v/>
      </c>
      <c r="AF10" t="str">
        <f>Pricer!AG25</f>
        <v/>
      </c>
      <c r="AG10" t="str">
        <f>Pricer!AH25</f>
        <v>P</v>
      </c>
      <c r="AH10" t="str">
        <f>Pricer!AI25</f>
        <v>P</v>
      </c>
      <c r="AI10" t="str">
        <f>Pricer!AJ25</f>
        <v>P</v>
      </c>
      <c r="AJ10" t="str">
        <f>Pricer!AK25</f>
        <v>P</v>
      </c>
      <c r="AK10" t="str">
        <f>Pricer!AL25</f>
        <v>P</v>
      </c>
      <c r="AL10" t="str">
        <f>Pricer!AM25</f>
        <v>P</v>
      </c>
      <c r="AM10" t="str">
        <f>Pricer!AN25</f>
        <v/>
      </c>
      <c r="AN10" t="str">
        <f>Pricer!AO25</f>
        <v/>
      </c>
      <c r="AO10" t="str">
        <f>Pricer!AP25</f>
        <v>P</v>
      </c>
      <c r="AP10" t="str">
        <f>Pricer!AQ25</f>
        <v>P</v>
      </c>
      <c r="AQ10" t="str">
        <f>Pricer!AR25</f>
        <v>P</v>
      </c>
      <c r="AR10" t="str">
        <f>Pricer!AS25</f>
        <v>P</v>
      </c>
      <c r="AS10" t="str">
        <f>Pricer!AT25</f>
        <v>P</v>
      </c>
      <c r="AT10" t="str">
        <f>Pricer!AU25</f>
        <v>P</v>
      </c>
      <c r="AU10" t="str">
        <f>Pricer!AV25</f>
        <v/>
      </c>
      <c r="AV10" t="str">
        <f>Pricer!AW25</f>
        <v/>
      </c>
    </row>
    <row r="11" spans="1:48">
      <c r="A11" s="3">
        <f>Pricer!B26</f>
        <v>46238</v>
      </c>
      <c r="B11" s="3">
        <f>Pricer!C26</f>
        <v>46238</v>
      </c>
      <c r="C11" s="3">
        <f>Pricer!D26</f>
        <v>46238</v>
      </c>
      <c r="D11" s="3">
        <f>Pricer!E26</f>
        <v>46238</v>
      </c>
      <c r="E11" s="3">
        <f>Pricer!F26</f>
        <v>46238</v>
      </c>
      <c r="F11" s="3">
        <f>Pricer!G26</f>
        <v>46238</v>
      </c>
      <c r="G11" s="3">
        <f>Pricer!H26</f>
        <v>46238</v>
      </c>
      <c r="H11" s="3">
        <f>Pricer!I26</f>
        <v>46238</v>
      </c>
      <c r="I11" s="3">
        <f>Pricer!J26</f>
        <v>46238</v>
      </c>
      <c r="J11" s="3">
        <f>Pricer!K26</f>
        <v>46238</v>
      </c>
      <c r="K11" s="3">
        <f>Pricer!L26</f>
        <v>46238</v>
      </c>
      <c r="L11" s="3">
        <f>Pricer!M26</f>
        <v>46238</v>
      </c>
      <c r="M11" s="3">
        <f>Pricer!N26</f>
        <v>46238</v>
      </c>
      <c r="N11" s="3">
        <f>Pricer!O26</f>
        <v>46238</v>
      </c>
      <c r="O11" s="3">
        <f>Pricer!P26</f>
        <v>46238</v>
      </c>
      <c r="P11" s="3">
        <f>Pricer!Q26</f>
        <v>46238</v>
      </c>
      <c r="Q11" s="3">
        <f>Pricer!R26</f>
        <v>46238</v>
      </c>
      <c r="R11" s="3">
        <f>Pricer!S26</f>
        <v>46238</v>
      </c>
      <c r="S11" s="3">
        <f>Pricer!T26</f>
        <v>46238</v>
      </c>
      <c r="T11" s="3">
        <f>Pricer!U26</f>
        <v>46238</v>
      </c>
      <c r="U11" s="3">
        <f>Pricer!V26</f>
        <v>46238</v>
      </c>
      <c r="V11" s="3">
        <f>Pricer!W26</f>
        <v>46238</v>
      </c>
      <c r="W11" s="3">
        <f>Pricer!X26</f>
        <v>46238</v>
      </c>
      <c r="X11" s="3">
        <f>Pricer!Y26</f>
        <v>46238</v>
      </c>
      <c r="Y11" s="3">
        <f>Pricer!Z26</f>
        <v>46238</v>
      </c>
      <c r="Z11" s="3">
        <f>Pricer!AA26</f>
        <v>46238</v>
      </c>
      <c r="AA11" s="3">
        <f>Pricer!AB26</f>
        <v>46238</v>
      </c>
      <c r="AB11" s="3">
        <f>Pricer!AC26</f>
        <v>46238</v>
      </c>
      <c r="AC11" s="3">
        <f>Pricer!AD26</f>
        <v>46238</v>
      </c>
      <c r="AD11" s="3">
        <f>Pricer!AE26</f>
        <v>46238</v>
      </c>
      <c r="AE11" s="3">
        <f>Pricer!AF26</f>
        <v>46238</v>
      </c>
      <c r="AF11" s="3">
        <f>Pricer!AG26</f>
        <v>46238</v>
      </c>
      <c r="AG11" s="3">
        <f>Pricer!AH26</f>
        <v>46238</v>
      </c>
      <c r="AH11" s="3">
        <f>Pricer!AI26</f>
        <v>46238</v>
      </c>
      <c r="AI11" s="3">
        <f>Pricer!AJ26</f>
        <v>46238</v>
      </c>
      <c r="AJ11" s="3">
        <f>Pricer!AK26</f>
        <v>46238</v>
      </c>
      <c r="AK11" s="3">
        <f>Pricer!AL26</f>
        <v>46238</v>
      </c>
      <c r="AL11" s="3">
        <f>Pricer!AM26</f>
        <v>46238</v>
      </c>
      <c r="AM11" s="3">
        <f>Pricer!AN26</f>
        <v>46238</v>
      </c>
      <c r="AN11" s="3">
        <f>Pricer!AO26</f>
        <v>46238</v>
      </c>
      <c r="AO11" s="3">
        <f>Pricer!AP26</f>
        <v>46238</v>
      </c>
      <c r="AP11" s="3">
        <f>Pricer!AQ26</f>
        <v>46238</v>
      </c>
      <c r="AQ11" s="3">
        <f>Pricer!AR26</f>
        <v>46238</v>
      </c>
      <c r="AR11" s="3">
        <f>Pricer!AS26</f>
        <v>46238</v>
      </c>
      <c r="AS11" s="3">
        <f>Pricer!AT26</f>
        <v>46238</v>
      </c>
      <c r="AT11" s="3">
        <f>Pricer!AU26</f>
        <v>46238</v>
      </c>
      <c r="AU11" s="3">
        <f>Pricer!AV26</f>
        <v>46238</v>
      </c>
      <c r="AV11" s="3">
        <f>Pricer!AW26</f>
        <v>46238</v>
      </c>
    </row>
    <row r="12" spans="1:48">
      <c r="A12" s="24">
        <f>Pricer!B27</f>
        <v>76799</v>
      </c>
      <c r="B12" s="24">
        <f>Pricer!C27</f>
        <v>76799</v>
      </c>
      <c r="C12" s="24">
        <f>Pricer!D27</f>
        <v>76799</v>
      </c>
      <c r="D12" s="24">
        <f>Pricer!E27</f>
        <v>76799</v>
      </c>
      <c r="E12" s="24">
        <f>Pricer!F27</f>
        <v>76799</v>
      </c>
      <c r="F12" s="24">
        <f>Pricer!G27</f>
        <v>76799</v>
      </c>
      <c r="G12" s="24">
        <f>Pricer!H27</f>
        <v>76799</v>
      </c>
      <c r="H12" s="24">
        <f>Pricer!I27</f>
        <v>76799</v>
      </c>
      <c r="I12" s="24">
        <f>Pricer!J27</f>
        <v>76799</v>
      </c>
      <c r="J12" s="24">
        <f>Pricer!K27</f>
        <v>76799</v>
      </c>
      <c r="K12" s="24">
        <f>Pricer!L27</f>
        <v>76799</v>
      </c>
      <c r="L12" s="24">
        <f>Pricer!M27</f>
        <v>76799</v>
      </c>
      <c r="M12" s="24">
        <f>Pricer!N27</f>
        <v>76799</v>
      </c>
      <c r="N12" s="24">
        <f>Pricer!O27</f>
        <v>76799</v>
      </c>
      <c r="O12" s="24">
        <f>Pricer!P27</f>
        <v>76799</v>
      </c>
      <c r="P12" s="24">
        <f>Pricer!Q27</f>
        <v>76799</v>
      </c>
      <c r="Q12" s="24">
        <f>Pricer!R27</f>
        <v>76799</v>
      </c>
      <c r="R12" s="24">
        <f>Pricer!S27</f>
        <v>76799</v>
      </c>
      <c r="S12" s="24">
        <f>Pricer!T27</f>
        <v>76799</v>
      </c>
      <c r="T12" s="24">
        <f>Pricer!U27</f>
        <v>76799</v>
      </c>
      <c r="U12" s="24">
        <f>Pricer!V27</f>
        <v>76799</v>
      </c>
      <c r="V12" s="24">
        <f>Pricer!W27</f>
        <v>76799</v>
      </c>
      <c r="W12" s="24">
        <f>Pricer!X27</f>
        <v>76799</v>
      </c>
      <c r="X12" s="24">
        <f>Pricer!Y27</f>
        <v>76799</v>
      </c>
      <c r="Y12" s="24">
        <f>Pricer!Z27</f>
        <v>76799</v>
      </c>
      <c r="Z12" s="24">
        <f>Pricer!AA27</f>
        <v>76799</v>
      </c>
      <c r="AA12" s="24">
        <f>Pricer!AB27</f>
        <v>76799</v>
      </c>
      <c r="AB12" s="24">
        <f>Pricer!AC27</f>
        <v>76799</v>
      </c>
      <c r="AC12" s="24">
        <f>Pricer!AD27</f>
        <v>76799</v>
      </c>
      <c r="AD12" s="24">
        <f>Pricer!AE27</f>
        <v>76799</v>
      </c>
      <c r="AE12" s="24">
        <f>Pricer!AF27</f>
        <v>76799</v>
      </c>
      <c r="AF12" s="24">
        <f>Pricer!AG27</f>
        <v>76799</v>
      </c>
      <c r="AG12" s="24">
        <f>Pricer!AH27</f>
        <v>76799</v>
      </c>
      <c r="AH12" s="24">
        <f>Pricer!AI27</f>
        <v>76799</v>
      </c>
      <c r="AI12" s="24">
        <f>Pricer!AJ27</f>
        <v>76799</v>
      </c>
      <c r="AJ12" s="24">
        <f>Pricer!AK27</f>
        <v>76799</v>
      </c>
      <c r="AK12" s="24">
        <f>Pricer!AL27</f>
        <v>76799</v>
      </c>
      <c r="AL12" s="24">
        <f>Pricer!AM27</f>
        <v>76799</v>
      </c>
      <c r="AM12" s="24">
        <f>Pricer!AN27</f>
        <v>76799</v>
      </c>
      <c r="AN12" s="24">
        <f>Pricer!AO27</f>
        <v>76799</v>
      </c>
      <c r="AO12" s="24">
        <f>Pricer!AP27</f>
        <v>76799</v>
      </c>
      <c r="AP12" s="24">
        <f>Pricer!AQ27</f>
        <v>76799</v>
      </c>
      <c r="AQ12" s="24">
        <f>Pricer!AR27</f>
        <v>76799</v>
      </c>
      <c r="AR12" s="24">
        <f>Pricer!AS27</f>
        <v>76799</v>
      </c>
      <c r="AS12" s="24">
        <f>Pricer!AT27</f>
        <v>76799</v>
      </c>
      <c r="AT12" s="24">
        <f>Pricer!AU27</f>
        <v>76799</v>
      </c>
      <c r="AU12" s="24">
        <f>Pricer!AV27</f>
        <v>76799</v>
      </c>
      <c r="AV12" s="24">
        <f>Pricer!AW27</f>
        <v>76799</v>
      </c>
    </row>
    <row r="13" spans="1:48" s="1" customFormat="1">
      <c r="A13" s="1">
        <f>Pricer!B28</f>
        <v>5.5E-2</v>
      </c>
      <c r="B13" s="1">
        <f>Pricer!C28</f>
        <v>5.5E-2</v>
      </c>
      <c r="C13" s="1">
        <f>Pricer!D28</f>
        <v>5.5E-2</v>
      </c>
      <c r="D13" s="1">
        <f>Pricer!E28</f>
        <v>5.5E-2</v>
      </c>
      <c r="E13" s="1">
        <f>Pricer!F28</f>
        <v>5.5E-2</v>
      </c>
      <c r="F13" s="1">
        <f>Pricer!G28</f>
        <v>5.5E-2</v>
      </c>
      <c r="G13" s="1">
        <f>Pricer!H28</f>
        <v>5.5E-2</v>
      </c>
      <c r="H13" s="1">
        <f>Pricer!I28</f>
        <v>5.5E-2</v>
      </c>
      <c r="I13" s="1">
        <f>Pricer!J28</f>
        <v>5.5E-2</v>
      </c>
      <c r="J13" s="1">
        <f>Pricer!K28</f>
        <v>5.5E-2</v>
      </c>
      <c r="K13" s="1">
        <f>Pricer!L28</f>
        <v>5.5E-2</v>
      </c>
      <c r="L13" s="1">
        <f>Pricer!M28</f>
        <v>5.5E-2</v>
      </c>
      <c r="M13" s="1">
        <f>Pricer!N28</f>
        <v>5.5E-2</v>
      </c>
      <c r="N13" s="1">
        <f>Pricer!O28</f>
        <v>5.5E-2</v>
      </c>
      <c r="O13" s="1">
        <f>Pricer!P28</f>
        <v>5.5E-2</v>
      </c>
      <c r="P13" s="1">
        <f>Pricer!Q28</f>
        <v>5.5E-2</v>
      </c>
      <c r="Q13" s="1">
        <f>Pricer!R28</f>
        <v>5.5E-2</v>
      </c>
      <c r="R13" s="1">
        <f>Pricer!S28</f>
        <v>5.5E-2</v>
      </c>
      <c r="S13" s="1">
        <f>Pricer!T28</f>
        <v>5.5E-2</v>
      </c>
      <c r="T13" s="1">
        <f>Pricer!U28</f>
        <v>5.5E-2</v>
      </c>
      <c r="U13" s="1">
        <f>Pricer!V28</f>
        <v>5.5E-2</v>
      </c>
      <c r="V13" s="1">
        <f>Pricer!W28</f>
        <v>5.5E-2</v>
      </c>
      <c r="W13" s="1">
        <f>Pricer!X28</f>
        <v>5.5E-2</v>
      </c>
      <c r="X13" s="1">
        <f>Pricer!Y28</f>
        <v>5.5E-2</v>
      </c>
      <c r="Y13" s="1">
        <f>Pricer!Z28</f>
        <v>5.5E-2</v>
      </c>
      <c r="Z13" s="1">
        <f>Pricer!AA28</f>
        <v>5.5E-2</v>
      </c>
      <c r="AA13" s="1">
        <f>Pricer!AB28</f>
        <v>5.5E-2</v>
      </c>
      <c r="AB13" s="1">
        <f>Pricer!AC28</f>
        <v>5.5E-2</v>
      </c>
      <c r="AC13" s="1">
        <f>Pricer!AD28</f>
        <v>5.5E-2</v>
      </c>
      <c r="AD13" s="1">
        <f>Pricer!AE28</f>
        <v>5.5E-2</v>
      </c>
      <c r="AE13" s="1">
        <f>Pricer!AF28</f>
        <v>5.5E-2</v>
      </c>
      <c r="AF13" s="1">
        <f>Pricer!AG28</f>
        <v>5.5E-2</v>
      </c>
      <c r="AG13" s="1">
        <f>Pricer!AH28</f>
        <v>5.5E-2</v>
      </c>
      <c r="AH13" s="1">
        <f>Pricer!AI28</f>
        <v>5.5E-2</v>
      </c>
      <c r="AI13" s="1">
        <f>Pricer!AJ28</f>
        <v>5.5E-2</v>
      </c>
      <c r="AJ13" s="1">
        <f>Pricer!AK28</f>
        <v>5.5E-2</v>
      </c>
      <c r="AK13" s="1">
        <f>Pricer!AL28</f>
        <v>5.5E-2</v>
      </c>
      <c r="AL13" s="1">
        <f>Pricer!AM28</f>
        <v>5.5E-2</v>
      </c>
      <c r="AM13" s="1">
        <f>Pricer!AN28</f>
        <v>5.5E-2</v>
      </c>
      <c r="AN13" s="1">
        <f>Pricer!AO28</f>
        <v>5.5E-2</v>
      </c>
      <c r="AO13" s="1">
        <f>Pricer!AP28</f>
        <v>5.5E-2</v>
      </c>
      <c r="AP13" s="1">
        <f>Pricer!AQ28</f>
        <v>5.5E-2</v>
      </c>
      <c r="AQ13" s="1">
        <f>Pricer!AR28</f>
        <v>5.5E-2</v>
      </c>
      <c r="AR13" s="1">
        <f>Pricer!AS28</f>
        <v>5.5E-2</v>
      </c>
      <c r="AS13" s="1">
        <f>Pricer!AT28</f>
        <v>5.5E-2</v>
      </c>
      <c r="AT13" s="1">
        <f>Pricer!AU28</f>
        <v>5.5E-2</v>
      </c>
      <c r="AU13" s="1">
        <f>Pricer!AV28</f>
        <v>5.5E-2</v>
      </c>
      <c r="AV13" s="1">
        <f>Pricer!AW28</f>
        <v>5.5E-2</v>
      </c>
    </row>
    <row r="14" spans="1:48" s="1" customFormat="1">
      <c r="A14" s="1">
        <f>Pricer!B29</f>
        <v>6.5000000000000002E-2</v>
      </c>
      <c r="B14" s="1">
        <f>Pricer!C29</f>
        <v>6.5000000000000002E-2</v>
      </c>
      <c r="C14" s="1">
        <f>Pricer!D29</f>
        <v>6.5000000000000002E-2</v>
      </c>
      <c r="D14" s="1">
        <f>Pricer!E29</f>
        <v>6.5000000000000002E-2</v>
      </c>
      <c r="E14" s="1">
        <f>Pricer!F29</f>
        <v>6.5000000000000002E-2</v>
      </c>
      <c r="F14" s="1">
        <f>Pricer!G29</f>
        <v>6.5000000000000002E-2</v>
      </c>
      <c r="G14" s="1">
        <f>Pricer!H29</f>
        <v>6.5000000000000002E-2</v>
      </c>
      <c r="H14" s="1">
        <f>Pricer!I29</f>
        <v>6.5000000000000002E-2</v>
      </c>
      <c r="I14" s="1">
        <f>Pricer!J29</f>
        <v>6.5000000000000002E-2</v>
      </c>
      <c r="J14" s="1">
        <f>Pricer!K29</f>
        <v>6.5000000000000002E-2</v>
      </c>
      <c r="K14" s="1">
        <f>Pricer!L29</f>
        <v>6.5000000000000002E-2</v>
      </c>
      <c r="L14" s="1">
        <f>Pricer!M29</f>
        <v>6.5000000000000002E-2</v>
      </c>
      <c r="M14" s="1">
        <f>Pricer!N29</f>
        <v>6.5000000000000002E-2</v>
      </c>
      <c r="N14" s="1">
        <f>Pricer!O29</f>
        <v>6.5000000000000002E-2</v>
      </c>
      <c r="O14" s="1">
        <f>Pricer!P29</f>
        <v>6.5000000000000002E-2</v>
      </c>
      <c r="P14" s="1">
        <f>Pricer!Q29</f>
        <v>6.5000000000000002E-2</v>
      </c>
      <c r="Q14" s="1">
        <f>Pricer!R29</f>
        <v>6.5000000000000002E-2</v>
      </c>
      <c r="R14" s="1">
        <f>Pricer!S29</f>
        <v>6.5000000000000002E-2</v>
      </c>
      <c r="S14" s="1">
        <f>Pricer!T29</f>
        <v>6.5000000000000002E-2</v>
      </c>
      <c r="T14" s="1">
        <f>Pricer!U29</f>
        <v>6.5000000000000002E-2</v>
      </c>
      <c r="U14" s="1">
        <f>Pricer!V29</f>
        <v>6.5000000000000002E-2</v>
      </c>
      <c r="V14" s="1">
        <f>Pricer!W29</f>
        <v>6.5000000000000002E-2</v>
      </c>
      <c r="W14" s="1">
        <f>Pricer!X29</f>
        <v>6.5000000000000002E-2</v>
      </c>
      <c r="X14" s="1">
        <f>Pricer!Y29</f>
        <v>6.5000000000000002E-2</v>
      </c>
      <c r="Y14" s="1">
        <f>Pricer!Z29</f>
        <v>6.5000000000000002E-2</v>
      </c>
      <c r="Z14" s="1">
        <f>Pricer!AA29</f>
        <v>6.5000000000000002E-2</v>
      </c>
      <c r="AA14" s="1">
        <f>Pricer!AB29</f>
        <v>6.5000000000000002E-2</v>
      </c>
      <c r="AB14" s="1">
        <f>Pricer!AC29</f>
        <v>6.5000000000000002E-2</v>
      </c>
      <c r="AC14" s="1">
        <f>Pricer!AD29</f>
        <v>6.5000000000000002E-2</v>
      </c>
      <c r="AD14" s="1">
        <f>Pricer!AE29</f>
        <v>6.5000000000000002E-2</v>
      </c>
      <c r="AE14" s="1">
        <f>Pricer!AF29</f>
        <v>6.5000000000000002E-2</v>
      </c>
      <c r="AF14" s="1">
        <f>Pricer!AG29</f>
        <v>6.5000000000000002E-2</v>
      </c>
      <c r="AG14" s="1">
        <f>Pricer!AH29</f>
        <v>6.5000000000000002E-2</v>
      </c>
      <c r="AH14" s="1">
        <f>Pricer!AI29</f>
        <v>6.5000000000000002E-2</v>
      </c>
      <c r="AI14" s="1">
        <f>Pricer!AJ29</f>
        <v>6.5000000000000002E-2</v>
      </c>
      <c r="AJ14" s="1">
        <f>Pricer!AK29</f>
        <v>6.5000000000000002E-2</v>
      </c>
      <c r="AK14" s="1">
        <f>Pricer!AL29</f>
        <v>6.5000000000000002E-2</v>
      </c>
      <c r="AL14" s="1">
        <f>Pricer!AM29</f>
        <v>6.5000000000000002E-2</v>
      </c>
      <c r="AM14" s="1">
        <f>Pricer!AN29</f>
        <v>6.5000000000000002E-2</v>
      </c>
      <c r="AN14" s="1">
        <f>Pricer!AO29</f>
        <v>6.5000000000000002E-2</v>
      </c>
      <c r="AO14" s="1">
        <f>Pricer!AP29</f>
        <v>6.5000000000000002E-2</v>
      </c>
      <c r="AP14" s="1">
        <f>Pricer!AQ29</f>
        <v>6.5000000000000002E-2</v>
      </c>
      <c r="AQ14" s="1">
        <f>Pricer!AR29</f>
        <v>6.5000000000000002E-2</v>
      </c>
      <c r="AR14" s="1">
        <f>Pricer!AS29</f>
        <v>6.5000000000000002E-2</v>
      </c>
      <c r="AS14" s="1">
        <f>Pricer!AT29</f>
        <v>6.5000000000000002E-2</v>
      </c>
      <c r="AT14" s="1">
        <f>Pricer!AU29</f>
        <v>6.5000000000000002E-2</v>
      </c>
      <c r="AU14" s="1">
        <f>Pricer!AV29</f>
        <v>6.5000000000000002E-2</v>
      </c>
      <c r="AV14" s="1">
        <f>Pricer!AW29</f>
        <v>6.5000000000000002E-2</v>
      </c>
    </row>
    <row r="15" spans="1:48">
      <c r="A15">
        <f>Pricer!B30</f>
        <v>7.1455551888267898E-3</v>
      </c>
      <c r="B15">
        <f>Pricer!C30</f>
        <v>6.7042120742227818E-3</v>
      </c>
      <c r="C15">
        <f>Pricer!D30</f>
        <v>6.2837549420695958E-3</v>
      </c>
      <c r="D15">
        <f>Pricer!E30</f>
        <v>5.8862029831781683E-3</v>
      </c>
      <c r="E15">
        <f>Pricer!F30</f>
        <v>5.55959050057499E-3</v>
      </c>
      <c r="F15">
        <f>Pricer!G30</f>
        <v>5.2887055805933775E-3</v>
      </c>
      <c r="G15">
        <f>Pricer!H30</f>
        <v>5.2887055805933775E-3</v>
      </c>
      <c r="H15">
        <f>Pricer!I30</f>
        <v>5.2887055805933775E-3</v>
      </c>
      <c r="I15">
        <f>Pricer!J30</f>
        <v>7.1455551888267898E-3</v>
      </c>
      <c r="J15">
        <f>Pricer!K30</f>
        <v>6.7042120742227818E-3</v>
      </c>
      <c r="K15">
        <f>Pricer!L30</f>
        <v>6.2837549420695958E-3</v>
      </c>
      <c r="L15">
        <f>Pricer!M30</f>
        <v>5.8862029831781683E-3</v>
      </c>
      <c r="M15">
        <f>Pricer!N30</f>
        <v>5.55959050057499E-3</v>
      </c>
      <c r="N15">
        <f>Pricer!O30</f>
        <v>5.2887055805933775E-3</v>
      </c>
      <c r="O15">
        <f>Pricer!P30</f>
        <v>5.2887055805933775E-3</v>
      </c>
      <c r="P15">
        <f>Pricer!Q30</f>
        <v>5.2887055805933775E-3</v>
      </c>
      <c r="Q15">
        <f>Pricer!R30</f>
        <v>7.1455551888267898E-3</v>
      </c>
      <c r="R15">
        <f>Pricer!S30</f>
        <v>6.7042120742227818E-3</v>
      </c>
      <c r="S15">
        <f>Pricer!T30</f>
        <v>6.2837549420695958E-3</v>
      </c>
      <c r="T15">
        <f>Pricer!U30</f>
        <v>5.8862029831781683E-3</v>
      </c>
      <c r="U15">
        <f>Pricer!V30</f>
        <v>5.55959050057499E-3</v>
      </c>
      <c r="V15">
        <f>Pricer!W30</f>
        <v>5.2887055805933775E-3</v>
      </c>
      <c r="W15">
        <f>Pricer!X30</f>
        <v>5.2887055805933775E-3</v>
      </c>
      <c r="X15">
        <f>Pricer!Y30</f>
        <v>5.2887055805933775E-3</v>
      </c>
      <c r="Y15" s="8">
        <f>Pricer!Z30</f>
        <v>7.1455551888267898E-3</v>
      </c>
      <c r="Z15" s="8">
        <f>Pricer!AA30</f>
        <v>6.7042120742227818E-3</v>
      </c>
      <c r="AA15" s="8">
        <f>Pricer!AB30</f>
        <v>6.2837549420695958E-3</v>
      </c>
      <c r="AB15" s="8">
        <f>Pricer!AC30</f>
        <v>5.8862029831781683E-3</v>
      </c>
      <c r="AC15" s="8">
        <f>Pricer!AD30</f>
        <v>5.55959050057499E-3</v>
      </c>
      <c r="AD15" s="8">
        <f>Pricer!AE30</f>
        <v>5.2887055805933775E-3</v>
      </c>
      <c r="AE15" s="8">
        <f>Pricer!AF30</f>
        <v>5.2887055805933775E-3</v>
      </c>
      <c r="AF15" s="8">
        <f>Pricer!AG30</f>
        <v>5.2887055805933775E-3</v>
      </c>
      <c r="AG15">
        <f>Pricer!AH30</f>
        <v>7.1455551888267898E-3</v>
      </c>
      <c r="AH15">
        <f>Pricer!AI30</f>
        <v>6.7042120742227818E-3</v>
      </c>
      <c r="AI15">
        <f>Pricer!AJ30</f>
        <v>6.2837549420695958E-3</v>
      </c>
      <c r="AJ15">
        <f>Pricer!AK30</f>
        <v>5.8862029831781683E-3</v>
      </c>
      <c r="AK15">
        <f>Pricer!AL30</f>
        <v>5.55959050057499E-3</v>
      </c>
      <c r="AL15">
        <f>Pricer!AM30</f>
        <v>5.2887055805933775E-3</v>
      </c>
      <c r="AM15">
        <f>Pricer!AN30</f>
        <v>5.2887055805933775E-3</v>
      </c>
      <c r="AN15">
        <f>Pricer!AO30</f>
        <v>5.2887055805933775E-3</v>
      </c>
      <c r="AO15">
        <f>Pricer!AP30</f>
        <v>7.1455551888267898E-3</v>
      </c>
      <c r="AP15">
        <f>Pricer!AQ30</f>
        <v>6.7042120742227818E-3</v>
      </c>
      <c r="AQ15">
        <f>Pricer!AR30</f>
        <v>6.2837549420695958E-3</v>
      </c>
      <c r="AR15">
        <f>Pricer!AS30</f>
        <v>5.8862029831781683E-3</v>
      </c>
      <c r="AS15">
        <f>Pricer!AT30</f>
        <v>5.55959050057499E-3</v>
      </c>
      <c r="AT15">
        <f>Pricer!AU30</f>
        <v>5.2887055805933775E-3</v>
      </c>
      <c r="AU15">
        <f>Pricer!AV30</f>
        <v>5.2887055805933775E-3</v>
      </c>
      <c r="AV15">
        <f>Pricer!AW30</f>
        <v>5.2887055805933775E-3</v>
      </c>
    </row>
    <row r="16" spans="1:48">
      <c r="A16" s="24">
        <f>Pricer!B31</f>
        <v>93080.582068680102</v>
      </c>
      <c r="B16" s="24">
        <f>Pricer!C31</f>
        <v>94266.240651160449</v>
      </c>
      <c r="C16" s="24">
        <f>Pricer!D31</f>
        <v>95567.753326122867</v>
      </c>
      <c r="D16" s="24">
        <f>Pricer!E31</f>
        <v>96989.485734601461</v>
      </c>
      <c r="E16" s="24">
        <f>Pricer!F31</f>
        <v>98328.597638817577</v>
      </c>
      <c r="F16" s="24">
        <f>Pricer!G31</f>
        <v>99581.105338089372</v>
      </c>
      <c r="G16" s="24">
        <f>Pricer!H31</f>
        <v>99581.105338089372</v>
      </c>
      <c r="H16" s="24">
        <f>Pricer!I31</f>
        <v>99581.105338089372</v>
      </c>
      <c r="I16" s="24">
        <f>Pricer!J31</f>
        <v>93080.582068680102</v>
      </c>
      <c r="J16" s="24">
        <f>Pricer!K31</f>
        <v>94266.240651160449</v>
      </c>
      <c r="K16" s="24">
        <f>Pricer!L31</f>
        <v>95567.753326122867</v>
      </c>
      <c r="L16" s="24">
        <f>Pricer!M31</f>
        <v>96989.485734601461</v>
      </c>
      <c r="M16" s="24">
        <f>Pricer!N31</f>
        <v>98328.597638817577</v>
      </c>
      <c r="N16" s="24">
        <f>Pricer!O31</f>
        <v>99581.105338089372</v>
      </c>
      <c r="O16" s="24">
        <f>Pricer!P31</f>
        <v>99581.105338089372</v>
      </c>
      <c r="P16" s="24">
        <f>Pricer!Q31</f>
        <v>99581.105338089372</v>
      </c>
      <c r="Q16" s="24">
        <f>Pricer!R31</f>
        <v>93080.582068680102</v>
      </c>
      <c r="R16" s="24">
        <f>Pricer!S31</f>
        <v>94266.240651160449</v>
      </c>
      <c r="S16" s="24">
        <f>Pricer!T31</f>
        <v>95567.753326122867</v>
      </c>
      <c r="T16" s="24">
        <f>Pricer!U31</f>
        <v>96989.485734601461</v>
      </c>
      <c r="U16" s="24">
        <f>Pricer!V31</f>
        <v>98328.597638817577</v>
      </c>
      <c r="V16" s="24">
        <f>Pricer!W31</f>
        <v>99581.105338089372</v>
      </c>
      <c r="W16" s="24">
        <f>Pricer!X31</f>
        <v>99581.105338089372</v>
      </c>
      <c r="X16" s="24">
        <f>Pricer!Y31</f>
        <v>99581.105338089372</v>
      </c>
      <c r="Y16" s="24">
        <f>Pricer!Z31</f>
        <v>93080.582068680102</v>
      </c>
      <c r="Z16" s="24">
        <f>Pricer!AA31</f>
        <v>94266.240651160449</v>
      </c>
      <c r="AA16" s="24">
        <f>Pricer!AB31</f>
        <v>95567.753326122867</v>
      </c>
      <c r="AB16" s="24">
        <f>Pricer!AC31</f>
        <v>96989.485734601461</v>
      </c>
      <c r="AC16" s="24">
        <f>Pricer!AD31</f>
        <v>98328.597638817577</v>
      </c>
      <c r="AD16" s="24">
        <f>Pricer!AE31</f>
        <v>99581.105338089372</v>
      </c>
      <c r="AE16" s="24">
        <f>Pricer!AF31</f>
        <v>99581.105338089372</v>
      </c>
      <c r="AF16" s="24">
        <f>Pricer!AG31</f>
        <v>99581.105338089372</v>
      </c>
      <c r="AG16" s="24">
        <f>Pricer!AH31</f>
        <v>93080.582068680102</v>
      </c>
      <c r="AH16" s="24">
        <f>Pricer!AI31</f>
        <v>94266.240651160449</v>
      </c>
      <c r="AI16" s="24">
        <f>Pricer!AJ31</f>
        <v>95567.753326122867</v>
      </c>
      <c r="AJ16" s="24">
        <f>Pricer!AK31</f>
        <v>96989.485734601461</v>
      </c>
      <c r="AK16" s="24">
        <f>Pricer!AL31</f>
        <v>98328.597638817577</v>
      </c>
      <c r="AL16" s="24">
        <f>Pricer!AM31</f>
        <v>99581.105338089372</v>
      </c>
      <c r="AM16" s="24">
        <f>Pricer!AN31</f>
        <v>99581.105338089372</v>
      </c>
      <c r="AN16" s="24">
        <f>Pricer!AO31</f>
        <v>99581.105338089372</v>
      </c>
      <c r="AO16" s="24">
        <f>Pricer!AP31</f>
        <v>93080.582068680102</v>
      </c>
      <c r="AP16" s="24">
        <f>Pricer!AQ31</f>
        <v>94266.240651160449</v>
      </c>
      <c r="AQ16" s="24">
        <f>Pricer!AR31</f>
        <v>95567.753326122867</v>
      </c>
      <c r="AR16" s="24">
        <f>Pricer!AS31</f>
        <v>96989.485734601461</v>
      </c>
      <c r="AS16" s="24">
        <f>Pricer!AT31</f>
        <v>98328.597638817577</v>
      </c>
      <c r="AT16" s="24">
        <f>Pricer!AU31</f>
        <v>99581.105338089372</v>
      </c>
      <c r="AU16" s="24">
        <f>Pricer!AV31</f>
        <v>99581.105338089372</v>
      </c>
      <c r="AV16" s="24">
        <f>Pricer!AW31</f>
        <v>99581.105338089372</v>
      </c>
    </row>
    <row r="17" spans="1:48">
      <c r="A17" s="8">
        <f ca="1">Pricer!B32</f>
        <v>0.14106585358921053</v>
      </c>
      <c r="B17" s="8">
        <f ca="1">Pricer!C32</f>
        <v>0.14106585358921053</v>
      </c>
      <c r="C17" s="8">
        <f ca="1">Pricer!D32</f>
        <v>0.14106585358921053</v>
      </c>
      <c r="D17" s="8">
        <f ca="1">Pricer!E32</f>
        <v>0.14106585358921053</v>
      </c>
      <c r="E17" s="8">
        <f ca="1">Pricer!F32</f>
        <v>0.14106585358921053</v>
      </c>
      <c r="F17" s="8">
        <f ca="1">Pricer!G32</f>
        <v>0.14106585358921053</v>
      </c>
      <c r="G17" s="8">
        <f ca="1">Pricer!H32</f>
        <v>0.14106585358921053</v>
      </c>
      <c r="H17" s="8">
        <f ca="1">Pricer!I32</f>
        <v>0.14106585358921053</v>
      </c>
      <c r="I17" s="8">
        <f ca="1">Pricer!J32</f>
        <v>0.14718355412051456</v>
      </c>
      <c r="J17" s="8">
        <f ca="1">Pricer!K32</f>
        <v>0.14718355412051456</v>
      </c>
      <c r="K17" s="8">
        <f ca="1">Pricer!L32</f>
        <v>0.14718355412051456</v>
      </c>
      <c r="L17" s="8">
        <f ca="1">Pricer!M32</f>
        <v>0.14718355412051456</v>
      </c>
      <c r="M17" s="8">
        <f ca="1">Pricer!N32</f>
        <v>0.14718355412051456</v>
      </c>
      <c r="N17" s="8">
        <f ca="1">Pricer!O32</f>
        <v>0.14718355412051456</v>
      </c>
      <c r="O17" s="8">
        <f ca="1">Pricer!P32</f>
        <v>0.14718355412051456</v>
      </c>
      <c r="P17" s="8">
        <f ca="1">Pricer!Q32</f>
        <v>0.14718355412051456</v>
      </c>
      <c r="Q17">
        <f ca="1">Pricer!R32</f>
        <v>0.14866010645719938</v>
      </c>
      <c r="R17">
        <f ca="1">Pricer!S32</f>
        <v>0.14866010645719938</v>
      </c>
      <c r="S17">
        <f ca="1">Pricer!T32</f>
        <v>0.14866010645719938</v>
      </c>
      <c r="T17">
        <f ca="1">Pricer!U32</f>
        <v>0.14866010645719938</v>
      </c>
      <c r="U17">
        <f ca="1">Pricer!V32</f>
        <v>0.14866010645719938</v>
      </c>
      <c r="V17">
        <f ca="1">Pricer!W32</f>
        <v>0.14866010645719938</v>
      </c>
      <c r="W17">
        <f ca="1">Pricer!X32</f>
        <v>0.14866010645719938</v>
      </c>
      <c r="X17">
        <f ca="1">Pricer!Y32</f>
        <v>0.14866010645719938</v>
      </c>
      <c r="Y17" s="8">
        <f ca="1">Pricer!Z32</f>
        <v>0.19934808710126092</v>
      </c>
      <c r="Z17" s="8">
        <f ca="1">Pricer!AA32</f>
        <v>0.19934808710126092</v>
      </c>
      <c r="AA17" s="8">
        <f ca="1">Pricer!AB32</f>
        <v>0.19934808710126092</v>
      </c>
      <c r="AB17" s="8">
        <f ca="1">Pricer!AC32</f>
        <v>0.19934808710126092</v>
      </c>
      <c r="AC17" s="8">
        <f ca="1">Pricer!AD32</f>
        <v>0.19934808710126092</v>
      </c>
      <c r="AD17" s="8">
        <f ca="1">Pricer!AE32</f>
        <v>0.19934808710126092</v>
      </c>
      <c r="AE17" s="8">
        <f ca="1">Pricer!AF32</f>
        <v>0.19934808710126092</v>
      </c>
      <c r="AF17" s="8">
        <f ca="1">Pricer!AG32</f>
        <v>0.19934808710126092</v>
      </c>
      <c r="AG17">
        <f ca="1">Pricer!AH32</f>
        <v>0.20103526920103809</v>
      </c>
      <c r="AH17">
        <f ca="1">Pricer!AI32</f>
        <v>0.20103526920103809</v>
      </c>
      <c r="AI17">
        <f ca="1">Pricer!AJ32</f>
        <v>0.20103526920103809</v>
      </c>
      <c r="AJ17">
        <f ca="1">Pricer!AK32</f>
        <v>0.20103526920103809</v>
      </c>
      <c r="AK17">
        <f ca="1">Pricer!AL32</f>
        <v>0.20103526920103809</v>
      </c>
      <c r="AL17">
        <f ca="1">Pricer!AM32</f>
        <v>0.20103526920103809</v>
      </c>
      <c r="AM17">
        <f ca="1">Pricer!AN32</f>
        <v>0.20103526920103809</v>
      </c>
      <c r="AN17">
        <f ca="1">Pricer!AO32</f>
        <v>0.20103526920103809</v>
      </c>
      <c r="AO17">
        <f ca="1">Pricer!AP32</f>
        <v>0.22632515231962899</v>
      </c>
      <c r="AP17">
        <f ca="1">Pricer!AQ32</f>
        <v>0.22632515231962899</v>
      </c>
      <c r="AQ17">
        <f ca="1">Pricer!AR32</f>
        <v>0.22632515231962899</v>
      </c>
      <c r="AR17">
        <f ca="1">Pricer!AS32</f>
        <v>0.22632515231962899</v>
      </c>
      <c r="AS17">
        <f ca="1">Pricer!AT32</f>
        <v>0.22632515231962899</v>
      </c>
      <c r="AT17">
        <f ca="1">Pricer!AU32</f>
        <v>0.22632515231962899</v>
      </c>
      <c r="AU17">
        <f ca="1">Pricer!AV32</f>
        <v>0.22632515231962899</v>
      </c>
      <c r="AV17">
        <f ca="1">Pricer!AW32</f>
        <v>0.22632515231962899</v>
      </c>
    </row>
    <row r="18" spans="1:48">
      <c r="A18">
        <f>Pricer!B33</f>
        <v>0</v>
      </c>
      <c r="B18">
        <f>Pricer!C33</f>
        <v>0</v>
      </c>
      <c r="C18">
        <f>Pricer!D33</f>
        <v>0</v>
      </c>
      <c r="D18">
        <f>Pricer!E33</f>
        <v>0</v>
      </c>
      <c r="E18">
        <f>Pricer!F33</f>
        <v>0</v>
      </c>
      <c r="F18">
        <f>Pricer!G33</f>
        <v>0</v>
      </c>
      <c r="G18">
        <f>Pricer!H33</f>
        <v>0</v>
      </c>
      <c r="H18">
        <f>Pricer!I33</f>
        <v>0</v>
      </c>
      <c r="I18">
        <f>Pricer!J33</f>
        <v>0</v>
      </c>
      <c r="J18">
        <f>Pricer!K33</f>
        <v>0</v>
      </c>
      <c r="K18">
        <f>Pricer!L33</f>
        <v>0</v>
      </c>
      <c r="L18">
        <f>Pricer!M33</f>
        <v>0</v>
      </c>
      <c r="M18">
        <f>Pricer!N33</f>
        <v>0</v>
      </c>
      <c r="N18">
        <f>Pricer!O33</f>
        <v>0</v>
      </c>
      <c r="O18">
        <f>Pricer!P33</f>
        <v>0</v>
      </c>
      <c r="P18">
        <f>Pricer!Q33</f>
        <v>0</v>
      </c>
      <c r="Q18">
        <f>Pricer!R33</f>
        <v>0</v>
      </c>
      <c r="R18">
        <f>Pricer!S33</f>
        <v>0</v>
      </c>
      <c r="S18">
        <f>Pricer!T33</f>
        <v>0</v>
      </c>
      <c r="T18">
        <f>Pricer!U33</f>
        <v>0</v>
      </c>
      <c r="U18">
        <f>Pricer!V33</f>
        <v>0</v>
      </c>
      <c r="V18">
        <f>Pricer!W33</f>
        <v>0</v>
      </c>
      <c r="W18">
        <f>Pricer!X33</f>
        <v>0</v>
      </c>
      <c r="X18">
        <f>Pricer!Y33</f>
        <v>0</v>
      </c>
      <c r="Y18">
        <f>Pricer!Z33</f>
        <v>0</v>
      </c>
      <c r="Z18">
        <f>Pricer!AA33</f>
        <v>0</v>
      </c>
      <c r="AA18">
        <f>Pricer!AB33</f>
        <v>0</v>
      </c>
      <c r="AB18">
        <f>Pricer!AC33</f>
        <v>0</v>
      </c>
      <c r="AC18">
        <f>Pricer!AD33</f>
        <v>0</v>
      </c>
      <c r="AD18">
        <f>Pricer!AE33</f>
        <v>0</v>
      </c>
      <c r="AE18">
        <f>Pricer!AF33</f>
        <v>0</v>
      </c>
      <c r="AF18">
        <f>Pricer!AG33</f>
        <v>0</v>
      </c>
      <c r="AG18">
        <f>Pricer!AH33</f>
        <v>0</v>
      </c>
      <c r="AH18">
        <f>Pricer!AI33</f>
        <v>0</v>
      </c>
      <c r="AI18">
        <f>Pricer!AJ33</f>
        <v>0</v>
      </c>
      <c r="AJ18">
        <f>Pricer!AK33</f>
        <v>0</v>
      </c>
      <c r="AK18">
        <f>Pricer!AL33</f>
        <v>0</v>
      </c>
      <c r="AL18">
        <f>Pricer!AM33</f>
        <v>0</v>
      </c>
      <c r="AM18">
        <f>Pricer!AN33</f>
        <v>0</v>
      </c>
      <c r="AN18">
        <f>Pricer!AO33</f>
        <v>0</v>
      </c>
      <c r="AO18">
        <f>Pricer!AP33</f>
        <v>0</v>
      </c>
      <c r="AP18">
        <f>Pricer!AQ33</f>
        <v>0</v>
      </c>
      <c r="AQ18">
        <f>Pricer!AR33</f>
        <v>0</v>
      </c>
      <c r="AR18">
        <f>Pricer!AS33</f>
        <v>0</v>
      </c>
      <c r="AS18">
        <f>Pricer!AT33</f>
        <v>0</v>
      </c>
      <c r="AT18">
        <f>Pricer!AU33</f>
        <v>0</v>
      </c>
      <c r="AU18">
        <f>Pricer!AV33</f>
        <v>0</v>
      </c>
      <c r="AV18">
        <f>Pricer!AW33</f>
        <v>0</v>
      </c>
    </row>
    <row r="19" spans="1:48">
      <c r="A19" s="24" t="str">
        <f>Pricer!B34</f>
        <v>B</v>
      </c>
      <c r="B19" s="24" t="str">
        <f>Pricer!C34</f>
        <v>B</v>
      </c>
      <c r="C19" s="24" t="str">
        <f>Pricer!D34</f>
        <v>B</v>
      </c>
      <c r="D19" s="24" t="str">
        <f>Pricer!E34</f>
        <v>B</v>
      </c>
      <c r="E19" s="24" t="str">
        <f>Pricer!F34</f>
        <v>B</v>
      </c>
      <c r="F19" s="24" t="str">
        <f>Pricer!G34</f>
        <v>B</v>
      </c>
      <c r="G19" s="24" t="str">
        <f>Pricer!H34</f>
        <v>B</v>
      </c>
      <c r="H19" s="24" t="str">
        <f>Pricer!I34</f>
        <v>B</v>
      </c>
      <c r="I19" s="24" t="str">
        <f>Pricer!J34</f>
        <v>B</v>
      </c>
      <c r="J19" s="24" t="str">
        <f>Pricer!K34</f>
        <v>B</v>
      </c>
      <c r="K19" s="24" t="str">
        <f>Pricer!L34</f>
        <v>B</v>
      </c>
      <c r="L19" s="24" t="str">
        <f>Pricer!M34</f>
        <v>B</v>
      </c>
      <c r="M19" s="24" t="str">
        <f>Pricer!N34</f>
        <v>B</v>
      </c>
      <c r="N19" s="24" t="str">
        <f>Pricer!O34</f>
        <v>B</v>
      </c>
      <c r="O19" s="24" t="str">
        <f>Pricer!P34</f>
        <v>B</v>
      </c>
      <c r="P19" s="24" t="str">
        <f>Pricer!Q34</f>
        <v>B</v>
      </c>
      <c r="Q19" s="24" t="str">
        <f>Pricer!R34</f>
        <v>B</v>
      </c>
      <c r="R19" s="24" t="str">
        <f>Pricer!S34</f>
        <v>B</v>
      </c>
      <c r="S19" s="24" t="str">
        <f>Pricer!T34</f>
        <v>B</v>
      </c>
      <c r="T19" s="24" t="str">
        <f>Pricer!U34</f>
        <v>B</v>
      </c>
      <c r="U19" s="24" t="str">
        <f>Pricer!V34</f>
        <v>B</v>
      </c>
      <c r="V19" s="24" t="str">
        <f>Pricer!W34</f>
        <v>B</v>
      </c>
      <c r="W19" s="24" t="str">
        <f>Pricer!X34</f>
        <v>B</v>
      </c>
      <c r="X19" s="24" t="str">
        <f>Pricer!Y34</f>
        <v>B</v>
      </c>
      <c r="Y19" s="24" t="str">
        <f>Pricer!Z34</f>
        <v>B</v>
      </c>
      <c r="Z19" s="24" t="str">
        <f>Pricer!AA34</f>
        <v>B</v>
      </c>
      <c r="AA19" s="24" t="str">
        <f>Pricer!AB34</f>
        <v>B</v>
      </c>
      <c r="AB19" s="24" t="str">
        <f>Pricer!AC34</f>
        <v>B</v>
      </c>
      <c r="AC19" s="24" t="str">
        <f>Pricer!AD34</f>
        <v>B</v>
      </c>
      <c r="AD19" s="24" t="str">
        <f>Pricer!AE34</f>
        <v>B</v>
      </c>
      <c r="AE19" s="24" t="str">
        <f>Pricer!AF34</f>
        <v>B</v>
      </c>
      <c r="AF19" s="24" t="str">
        <f>Pricer!AG34</f>
        <v>B</v>
      </c>
      <c r="AG19" s="24" t="str">
        <f>Pricer!AH34</f>
        <v>B</v>
      </c>
      <c r="AH19" s="24" t="str">
        <f>Pricer!AI34</f>
        <v>B</v>
      </c>
      <c r="AI19" s="24" t="str">
        <f>Pricer!AJ34</f>
        <v>B</v>
      </c>
      <c r="AJ19" s="24" t="str">
        <f>Pricer!AK34</f>
        <v>B</v>
      </c>
      <c r="AK19" s="24" t="str">
        <f>Pricer!AL34</f>
        <v>B</v>
      </c>
      <c r="AL19" s="24" t="str">
        <f>Pricer!AM34</f>
        <v>B</v>
      </c>
      <c r="AM19" s="24" t="str">
        <f>Pricer!AN34</f>
        <v>B</v>
      </c>
      <c r="AN19" s="24" t="str">
        <f>Pricer!AO34</f>
        <v>B</v>
      </c>
      <c r="AO19" s="24" t="str">
        <f>Pricer!AP34</f>
        <v>B</v>
      </c>
      <c r="AP19" s="24" t="str">
        <f>Pricer!AQ34</f>
        <v>B</v>
      </c>
      <c r="AQ19" s="24" t="str">
        <f>Pricer!AR34</f>
        <v>B</v>
      </c>
      <c r="AR19" s="24" t="str">
        <f>Pricer!AS34</f>
        <v>B</v>
      </c>
      <c r="AS19" s="24" t="str">
        <f>Pricer!AT34</f>
        <v>B</v>
      </c>
      <c r="AT19" s="24" t="str">
        <f>Pricer!AU34</f>
        <v>B</v>
      </c>
      <c r="AU19" s="24" t="str">
        <f>Pricer!AV34</f>
        <v>B</v>
      </c>
      <c r="AV19" s="24" t="str">
        <f>Pricer!AW34</f>
        <v>B</v>
      </c>
    </row>
    <row r="20" spans="1:48">
      <c r="A20" s="36">
        <f ca="1">Pricer!B35</f>
        <v>14392.535436558752</v>
      </c>
      <c r="B20" s="36">
        <f ca="1">Pricer!C35</f>
        <v>13833.102316555856</v>
      </c>
      <c r="C20" s="36">
        <f ca="1">Pricer!D35</f>
        <v>13259.598020706779</v>
      </c>
      <c r="D20" s="36">
        <f ca="1">Pricer!E35</f>
        <v>12676.669515732021</v>
      </c>
      <c r="E20" s="36">
        <f ca="1">Pricer!F35</f>
        <v>12164.947833853705</v>
      </c>
      <c r="F20" s="36">
        <f ca="1">Pricer!G35</f>
        <v>11715.918167307553</v>
      </c>
      <c r="G20" s="36">
        <f>Pricer!H35</f>
        <v>0</v>
      </c>
      <c r="H20" s="36">
        <f>Pricer!I35</f>
        <v>0</v>
      </c>
      <c r="I20" s="36">
        <f ca="1">Pricer!J35</f>
        <v>10520.548708389071</v>
      </c>
      <c r="J20" s="36">
        <f ca="1">Pricer!K35</f>
        <v>10149.948734589223</v>
      </c>
      <c r="K20" s="36">
        <f ca="1">Pricer!L35</f>
        <v>9768.5670052012792</v>
      </c>
      <c r="L20" s="36">
        <f ca="1">Pricer!M35</f>
        <v>9379.1977652990699</v>
      </c>
      <c r="M20" s="36">
        <f ca="1">Pricer!N35</f>
        <v>9035.8076650601051</v>
      </c>
      <c r="N20" s="36">
        <f ca="1">Pricer!O35</f>
        <v>8733.163836408994</v>
      </c>
      <c r="O20" s="36">
        <f>Pricer!P35</f>
        <v>0</v>
      </c>
      <c r="P20" s="36">
        <f>Pricer!Q35</f>
        <v>0</v>
      </c>
      <c r="Q20" s="36">
        <f ca="1">Pricer!R35</f>
        <v>9840.0455258319143</v>
      </c>
      <c r="R20" s="36">
        <f ca="1">Pricer!S35</f>
        <v>9504.1476281745799</v>
      </c>
      <c r="S20" s="36">
        <f ca="1">Pricer!T35</f>
        <v>9157.8395320422969</v>
      </c>
      <c r="T20" s="36">
        <f ca="1">Pricer!U35</f>
        <v>8803.5920016274686</v>
      </c>
      <c r="U20" s="36">
        <f ca="1">Pricer!V35</f>
        <v>8490.5877326079681</v>
      </c>
      <c r="V20" s="36">
        <f ca="1">Pricer!W35</f>
        <v>8214.2589711158707</v>
      </c>
      <c r="W20" s="36">
        <f>Pricer!X35</f>
        <v>0</v>
      </c>
      <c r="X20" s="36">
        <f>Pricer!Y35</f>
        <v>0</v>
      </c>
      <c r="Y20" s="36">
        <f ca="1">Pricer!Z35</f>
        <v>2165.3605554035353</v>
      </c>
      <c r="Z20" s="36">
        <f ca="1">Pricer!AA35</f>
        <v>2200.0160223607563</v>
      </c>
      <c r="AA20" s="36">
        <f ca="1">Pricer!AB35</f>
        <v>2230.2897505753172</v>
      </c>
      <c r="AB20" s="36">
        <f ca="1">Pricer!AC35</f>
        <v>2255.4349165389594</v>
      </c>
      <c r="AC20" s="36">
        <f ca="1">Pricer!AD35</f>
        <v>2272.6800369579387</v>
      </c>
      <c r="AD20" s="36">
        <f ca="1">Pricer!AE35</f>
        <v>2283.9753048293501</v>
      </c>
      <c r="AE20" s="36">
        <f>Pricer!AF35</f>
        <v>0</v>
      </c>
      <c r="AF20" s="36">
        <f>Pricer!AG35</f>
        <v>0</v>
      </c>
      <c r="AG20" s="36">
        <f ca="1">Pricer!AH35</f>
        <v>2076.5661580414803</v>
      </c>
      <c r="AH20" s="36">
        <f ca="1">Pricer!AI35</f>
        <v>2113.6763478381895</v>
      </c>
      <c r="AI20" s="36">
        <f ca="1">Pricer!AJ35</f>
        <v>2146.6417740506554</v>
      </c>
      <c r="AJ20" s="36">
        <f ca="1">Pricer!AK35</f>
        <v>2174.6951549796627</v>
      </c>
      <c r="AK20" s="36">
        <f ca="1">Pricer!AL35</f>
        <v>2194.62925732432</v>
      </c>
      <c r="AL20" s="36">
        <f ca="1">Pricer!AM35</f>
        <v>2208.384056105122</v>
      </c>
      <c r="AM20" s="36">
        <f>Pricer!AN35</f>
        <v>0</v>
      </c>
      <c r="AN20" s="36">
        <f>Pricer!AO35</f>
        <v>0</v>
      </c>
      <c r="AO20" s="36">
        <f ca="1">Pricer!AP35</f>
        <v>1114.7305390644387</v>
      </c>
      <c r="AP20" s="36">
        <f ca="1">Pricer!AQ35</f>
        <v>1167.1922758219523</v>
      </c>
      <c r="AQ20" s="36">
        <f ca="1">Pricer!AR35</f>
        <v>1218.7219039416423</v>
      </c>
      <c r="AR20" s="36">
        <f ca="1">Pricer!AS35</f>
        <v>1268.4691062538143</v>
      </c>
      <c r="AS20" s="36">
        <f ca="1">Pricer!AT35</f>
        <v>1309.7125867542895</v>
      </c>
      <c r="AT20" s="36">
        <f ca="1">Pricer!AU35</f>
        <v>1343.8563802370022</v>
      </c>
      <c r="AU20" s="36">
        <f>Pricer!AV35</f>
        <v>0</v>
      </c>
      <c r="AV20" s="36">
        <f>Pricer!AW35</f>
        <v>0</v>
      </c>
    </row>
    <row r="21" spans="1:48">
      <c r="A21" s="8">
        <f ca="1">Pricer!B36</f>
        <v>0.18740524533599073</v>
      </c>
      <c r="B21" s="8">
        <f ca="1">Pricer!C36</f>
        <v>0.18012086507058497</v>
      </c>
      <c r="C21" s="8">
        <f ca="1">Pricer!D36</f>
        <v>0.1726532639839943</v>
      </c>
      <c r="D21" s="8">
        <f ca="1">Pricer!E36</f>
        <v>0.16506295024325865</v>
      </c>
      <c r="E21" s="8">
        <f ca="1">Pricer!F36</f>
        <v>0.15839982075096948</v>
      </c>
      <c r="F21" s="8">
        <f ca="1">Pricer!G36</f>
        <v>0.15255300417072556</v>
      </c>
      <c r="G21" s="8">
        <f>Pricer!H36</f>
        <v>0</v>
      </c>
      <c r="H21" s="8">
        <f>Pricer!I36</f>
        <v>0</v>
      </c>
      <c r="I21" s="8">
        <f ca="1">Pricer!J36</f>
        <v>0.1369880950063031</v>
      </c>
      <c r="J21" s="8">
        <f ca="1">Pricer!K36</f>
        <v>0.13216251168100135</v>
      </c>
      <c r="K21" s="8">
        <f ca="1">Pricer!L36</f>
        <v>0.12719653908516099</v>
      </c>
      <c r="L21" s="8">
        <f ca="1">Pricer!M36</f>
        <v>0.12212656109192919</v>
      </c>
      <c r="M21" s="8">
        <f ca="1">Pricer!N36</f>
        <v>0.11765527760856398</v>
      </c>
      <c r="N21" s="8">
        <f ca="1">Pricer!O36</f>
        <v>0.11371455144479738</v>
      </c>
      <c r="O21" s="8">
        <f>Pricer!P36</f>
        <v>0</v>
      </c>
      <c r="P21" s="8">
        <f>Pricer!Q36</f>
        <v>0</v>
      </c>
      <c r="Q21" s="8">
        <f ca="1">Pricer!R36</f>
        <v>0.12812726110798206</v>
      </c>
      <c r="R21" s="8">
        <f ca="1">Pricer!S36</f>
        <v>0.12375353361599213</v>
      </c>
      <c r="S21" s="8">
        <f ca="1">Pricer!T36</f>
        <v>0.11924425489970308</v>
      </c>
      <c r="T21" s="8">
        <f ca="1">Pricer!U36</f>
        <v>0.11463159678677416</v>
      </c>
      <c r="U21" s="8">
        <f ca="1">Pricer!V36</f>
        <v>0.11055596729915712</v>
      </c>
      <c r="V21" s="8">
        <f ca="1">Pricer!W36</f>
        <v>0.10695788970059338</v>
      </c>
      <c r="W21" s="8">
        <f>Pricer!X36</f>
        <v>0</v>
      </c>
      <c r="X21" s="8">
        <f>Pricer!Y36</f>
        <v>0</v>
      </c>
      <c r="Y21" s="8">
        <f ca="1">Pricer!Z36</f>
        <v>2.8195166023041125E-2</v>
      </c>
      <c r="Z21" s="8">
        <f ca="1">Pricer!AA36</f>
        <v>2.8646414958017116E-2</v>
      </c>
      <c r="AA21" s="8">
        <f ca="1">Pricer!AB36</f>
        <v>2.9040609260215851E-2</v>
      </c>
      <c r="AB21" s="8">
        <f ca="1">Pricer!AC36</f>
        <v>2.9368024538587213E-2</v>
      </c>
      <c r="AC21" s="8">
        <f ca="1">Pricer!AD36</f>
        <v>2.9592573301188019E-2</v>
      </c>
      <c r="AD21" s="8">
        <f ca="1">Pricer!AE36</f>
        <v>2.97396490166454E-2</v>
      </c>
      <c r="AE21" s="8">
        <f>Pricer!AF36</f>
        <v>0</v>
      </c>
      <c r="AF21" s="8">
        <f>Pricer!AG36</f>
        <v>0</v>
      </c>
      <c r="AG21" s="8">
        <f ca="1">Pricer!AH36</f>
        <v>2.7038973919471351E-2</v>
      </c>
      <c r="AH21" s="8">
        <f ca="1">Pricer!AI36</f>
        <v>2.752218580760413E-2</v>
      </c>
      <c r="AI21" s="8">
        <f ca="1">Pricer!AJ36</f>
        <v>2.795142871717933E-2</v>
      </c>
      <c r="AJ21" s="8">
        <f ca="1">Pricer!AK36</f>
        <v>2.8316711870983512E-2</v>
      </c>
      <c r="AK21" s="8">
        <f ca="1">Pricer!AL36</f>
        <v>2.8576273874976497E-2</v>
      </c>
      <c r="AL21" s="8">
        <f ca="1">Pricer!AM36</f>
        <v>2.87553751494827E-2</v>
      </c>
      <c r="AM21" s="8">
        <f>Pricer!AN36</f>
        <v>0</v>
      </c>
      <c r="AN21" s="8">
        <f>Pricer!AO36</f>
        <v>0</v>
      </c>
      <c r="AO21" s="8">
        <f ca="1">Pricer!AP36</f>
        <v>1.4514909556953068E-2</v>
      </c>
      <c r="AP21" s="8">
        <f ca="1">Pricer!AQ36</f>
        <v>1.5198013982238731E-2</v>
      </c>
      <c r="AQ21" s="8">
        <f ca="1">Pricer!AR36</f>
        <v>1.5868981418269017E-2</v>
      </c>
      <c r="AR21" s="8">
        <f ca="1">Pricer!AS36</f>
        <v>1.6516739882730429E-2</v>
      </c>
      <c r="AS21" s="8">
        <f ca="1">Pricer!AT36</f>
        <v>1.7053771361011074E-2</v>
      </c>
      <c r="AT21" s="8">
        <f ca="1">Pricer!AU36</f>
        <v>1.7498357794203077E-2</v>
      </c>
      <c r="AU21" s="8">
        <f>Pricer!AV36</f>
        <v>0</v>
      </c>
      <c r="AV21" s="8">
        <f>Pricer!AW36</f>
        <v>0</v>
      </c>
    </row>
    <row r="22" spans="1:48">
      <c r="A22" s="28">
        <f>Pricer!B37</f>
        <v>0</v>
      </c>
      <c r="B22" s="28">
        <f>Pricer!C37</f>
        <v>0</v>
      </c>
      <c r="C22" s="28">
        <f>Pricer!D37</f>
        <v>0</v>
      </c>
      <c r="D22" s="28">
        <f>Pricer!E37</f>
        <v>0</v>
      </c>
      <c r="E22" s="28">
        <f>Pricer!F37</f>
        <v>0</v>
      </c>
      <c r="F22" s="28">
        <f>Pricer!G37</f>
        <v>0</v>
      </c>
      <c r="G22" s="28">
        <f>Pricer!H37</f>
        <v>0</v>
      </c>
      <c r="H22" s="28">
        <f>Pricer!I37</f>
        <v>0</v>
      </c>
      <c r="I22" s="28">
        <f>Pricer!J37</f>
        <v>0</v>
      </c>
      <c r="J22" s="28">
        <f>Pricer!K37</f>
        <v>0</v>
      </c>
      <c r="K22" s="28">
        <f>Pricer!L37</f>
        <v>0</v>
      </c>
      <c r="L22" s="28">
        <f>Pricer!M37</f>
        <v>0</v>
      </c>
      <c r="M22" s="28">
        <f>Pricer!N37</f>
        <v>0</v>
      </c>
      <c r="N22" s="28">
        <f>Pricer!O37</f>
        <v>0</v>
      </c>
      <c r="O22" s="28">
        <f>Pricer!P37</f>
        <v>0</v>
      </c>
      <c r="P22" s="28">
        <f>Pricer!Q37</f>
        <v>0</v>
      </c>
      <c r="Q22" s="28">
        <f>Pricer!R37</f>
        <v>0</v>
      </c>
      <c r="R22" s="28">
        <f>Pricer!S37</f>
        <v>0</v>
      </c>
      <c r="S22" s="28">
        <f>Pricer!T37</f>
        <v>0</v>
      </c>
      <c r="T22" s="28">
        <f>Pricer!U37</f>
        <v>0</v>
      </c>
      <c r="U22" s="28">
        <f>Pricer!V37</f>
        <v>0</v>
      </c>
      <c r="V22" s="28">
        <f>Pricer!W37</f>
        <v>0</v>
      </c>
      <c r="W22" s="28">
        <f>Pricer!X37</f>
        <v>0</v>
      </c>
      <c r="X22" s="28">
        <f>Pricer!Y37</f>
        <v>0</v>
      </c>
      <c r="Y22" s="28">
        <f>Pricer!Z37</f>
        <v>0</v>
      </c>
      <c r="Z22" s="28">
        <f>Pricer!AA37</f>
        <v>0</v>
      </c>
      <c r="AA22" s="28">
        <f>Pricer!AB37</f>
        <v>0</v>
      </c>
      <c r="AB22" s="28">
        <f>Pricer!AC37</f>
        <v>0</v>
      </c>
      <c r="AC22" s="28">
        <f>Pricer!AD37</f>
        <v>0</v>
      </c>
      <c r="AD22" s="28">
        <f>Pricer!AE37</f>
        <v>0</v>
      </c>
      <c r="AE22" s="28">
        <f>Pricer!AF37</f>
        <v>0</v>
      </c>
      <c r="AF22" s="28">
        <f>Pricer!AG37</f>
        <v>0</v>
      </c>
      <c r="AG22" s="28">
        <f>Pricer!AH37</f>
        <v>0</v>
      </c>
      <c r="AH22" s="28">
        <f>Pricer!AI37</f>
        <v>0</v>
      </c>
      <c r="AI22" s="28">
        <f>Pricer!AJ37</f>
        <v>0</v>
      </c>
      <c r="AJ22" s="28">
        <f>Pricer!AK37</f>
        <v>0</v>
      </c>
      <c r="AK22" s="28">
        <f>Pricer!AL37</f>
        <v>0</v>
      </c>
      <c r="AL22" s="28">
        <f>Pricer!AM37</f>
        <v>0</v>
      </c>
      <c r="AM22" s="28">
        <f>Pricer!AN37</f>
        <v>0</v>
      </c>
      <c r="AN22" s="28">
        <f>Pricer!AO37</f>
        <v>0</v>
      </c>
      <c r="AO22" s="28">
        <f>Pricer!AP37</f>
        <v>0</v>
      </c>
      <c r="AP22" s="28">
        <f>Pricer!AQ37</f>
        <v>0</v>
      </c>
      <c r="AQ22" s="28">
        <f>Pricer!AR37</f>
        <v>0</v>
      </c>
      <c r="AR22" s="28">
        <f>Pricer!AS37</f>
        <v>0</v>
      </c>
      <c r="AS22" s="28">
        <f>Pricer!AT37</f>
        <v>0</v>
      </c>
      <c r="AT22" s="28">
        <f>Pricer!AU37</f>
        <v>0</v>
      </c>
      <c r="AU22" s="28">
        <f>Pricer!AV37</f>
        <v>0</v>
      </c>
      <c r="AV22" s="28">
        <f>Pricer!AW37</f>
        <v>0</v>
      </c>
    </row>
    <row r="23" spans="1:48">
      <c r="A23">
        <f>Pricer!B38</f>
        <v>0</v>
      </c>
      <c r="B23">
        <f>Pricer!C38</f>
        <v>0</v>
      </c>
      <c r="C23">
        <f>Pricer!D38</f>
        <v>0</v>
      </c>
      <c r="D23">
        <f>Pricer!E38</f>
        <v>0</v>
      </c>
      <c r="E23">
        <f>Pricer!F38</f>
        <v>0</v>
      </c>
      <c r="F23">
        <f>Pricer!G38</f>
        <v>0</v>
      </c>
      <c r="G23">
        <f>Pricer!H38</f>
        <v>0</v>
      </c>
      <c r="H23">
        <f>Pricer!I38</f>
        <v>0</v>
      </c>
      <c r="I23">
        <f>Pricer!J38</f>
        <v>0</v>
      </c>
      <c r="J23">
        <f>Pricer!K38</f>
        <v>0</v>
      </c>
      <c r="K23">
        <f>Pricer!L38</f>
        <v>0</v>
      </c>
      <c r="L23">
        <f>Pricer!M38</f>
        <v>0</v>
      </c>
      <c r="M23">
        <f>Pricer!N38</f>
        <v>0</v>
      </c>
      <c r="N23">
        <f>Pricer!O38</f>
        <v>0</v>
      </c>
      <c r="O23">
        <f>Pricer!P38</f>
        <v>0</v>
      </c>
      <c r="P23">
        <f>Pricer!Q38</f>
        <v>0</v>
      </c>
      <c r="Q23">
        <f>Pricer!R38</f>
        <v>0</v>
      </c>
      <c r="R23">
        <f>Pricer!S38</f>
        <v>0</v>
      </c>
      <c r="S23">
        <f>Pricer!T38</f>
        <v>0</v>
      </c>
      <c r="T23">
        <f>Pricer!U38</f>
        <v>0</v>
      </c>
      <c r="U23">
        <f>Pricer!V38</f>
        <v>0</v>
      </c>
      <c r="V23">
        <f>Pricer!W38</f>
        <v>0</v>
      </c>
      <c r="W23">
        <f>Pricer!X38</f>
        <v>0</v>
      </c>
      <c r="X23">
        <f>Pricer!Y38</f>
        <v>0</v>
      </c>
      <c r="Y23">
        <f>Pricer!Z38</f>
        <v>0</v>
      </c>
      <c r="Z23">
        <f>Pricer!AA38</f>
        <v>0</v>
      </c>
      <c r="AA23">
        <f>Pricer!AB38</f>
        <v>0</v>
      </c>
      <c r="AB23">
        <f>Pricer!AC38</f>
        <v>0</v>
      </c>
      <c r="AC23">
        <f>Pricer!AD38</f>
        <v>0</v>
      </c>
      <c r="AD23">
        <f>Pricer!AE38</f>
        <v>0</v>
      </c>
      <c r="AE23">
        <f>Pricer!AF38</f>
        <v>0</v>
      </c>
      <c r="AF23">
        <f>Pricer!AG38</f>
        <v>0</v>
      </c>
      <c r="AG23">
        <f>Pricer!AH38</f>
        <v>0</v>
      </c>
      <c r="AH23">
        <f>Pricer!AI38</f>
        <v>0</v>
      </c>
      <c r="AI23">
        <f>Pricer!AJ38</f>
        <v>0</v>
      </c>
      <c r="AJ23">
        <f>Pricer!AK38</f>
        <v>0</v>
      </c>
      <c r="AK23">
        <f>Pricer!AL38</f>
        <v>0</v>
      </c>
      <c r="AL23">
        <f>Pricer!AM38</f>
        <v>0</v>
      </c>
      <c r="AM23">
        <f>Pricer!AN38</f>
        <v>0</v>
      </c>
      <c r="AN23">
        <f>Pricer!AO38</f>
        <v>0</v>
      </c>
      <c r="AO23">
        <f>Pricer!AP38</f>
        <v>0</v>
      </c>
      <c r="AP23">
        <f>Pricer!AQ38</f>
        <v>0</v>
      </c>
      <c r="AQ23">
        <f>Pricer!AR38</f>
        <v>0</v>
      </c>
      <c r="AR23">
        <f>Pricer!AS38</f>
        <v>0</v>
      </c>
      <c r="AS23">
        <f>Pricer!AT38</f>
        <v>0</v>
      </c>
      <c r="AT23">
        <f>Pricer!AU38</f>
        <v>0</v>
      </c>
      <c r="AU23">
        <f>Pricer!AV38</f>
        <v>0</v>
      </c>
      <c r="AV23">
        <f>Pricer!AW38</f>
        <v>0</v>
      </c>
    </row>
    <row r="24" spans="1:48">
      <c r="A24">
        <f>Pricer!B39</f>
        <v>0.03</v>
      </c>
      <c r="B24">
        <f>Pricer!C39</f>
        <v>0.03</v>
      </c>
      <c r="C24">
        <f>Pricer!D39</f>
        <v>0.03</v>
      </c>
      <c r="D24">
        <f>Pricer!E39</f>
        <v>0.03</v>
      </c>
      <c r="E24">
        <f>Pricer!F39</f>
        <v>0.03</v>
      </c>
      <c r="F24">
        <f>Pricer!G39</f>
        <v>0.03</v>
      </c>
      <c r="G24">
        <f>Pricer!H39</f>
        <v>0.03</v>
      </c>
      <c r="H24">
        <f>Pricer!I39</f>
        <v>0.03</v>
      </c>
      <c r="I24">
        <f>Pricer!J39</f>
        <v>0.03</v>
      </c>
      <c r="J24">
        <f>Pricer!K39</f>
        <v>0.03</v>
      </c>
      <c r="K24">
        <f>Pricer!L39</f>
        <v>0.03</v>
      </c>
      <c r="L24">
        <f>Pricer!M39</f>
        <v>0.03</v>
      </c>
      <c r="M24">
        <f>Pricer!N39</f>
        <v>0.03</v>
      </c>
      <c r="N24">
        <f>Pricer!O39</f>
        <v>0.03</v>
      </c>
      <c r="O24">
        <f>Pricer!P39</f>
        <v>0.03</v>
      </c>
      <c r="P24">
        <f>Pricer!Q39</f>
        <v>0.03</v>
      </c>
      <c r="Q24">
        <f>Pricer!R39</f>
        <v>0.03</v>
      </c>
      <c r="R24">
        <f>Pricer!S39</f>
        <v>0.03</v>
      </c>
      <c r="S24">
        <f>Pricer!T39</f>
        <v>0.03</v>
      </c>
      <c r="T24">
        <f>Pricer!U39</f>
        <v>0.03</v>
      </c>
      <c r="U24">
        <f>Pricer!V39</f>
        <v>0.03</v>
      </c>
      <c r="V24">
        <f>Pricer!W39</f>
        <v>0.03</v>
      </c>
      <c r="W24">
        <f>Pricer!X39</f>
        <v>0.03</v>
      </c>
      <c r="X24">
        <f>Pricer!Y39</f>
        <v>0.03</v>
      </c>
      <c r="Y24">
        <f>Pricer!Z39</f>
        <v>0.03</v>
      </c>
      <c r="Z24">
        <f>Pricer!AA39</f>
        <v>0.03</v>
      </c>
      <c r="AA24">
        <f>Pricer!AB39</f>
        <v>0.03</v>
      </c>
      <c r="AB24">
        <f>Pricer!AC39</f>
        <v>0.03</v>
      </c>
      <c r="AC24">
        <f>Pricer!AD39</f>
        <v>0.03</v>
      </c>
      <c r="AD24">
        <f>Pricer!AE39</f>
        <v>0.03</v>
      </c>
      <c r="AE24">
        <f>Pricer!AF39</f>
        <v>0.03</v>
      </c>
      <c r="AF24">
        <f>Pricer!AG39</f>
        <v>0.03</v>
      </c>
      <c r="AG24">
        <f>Pricer!AH39</f>
        <v>0.03</v>
      </c>
      <c r="AH24">
        <f>Pricer!AI39</f>
        <v>0.03</v>
      </c>
      <c r="AI24">
        <f>Pricer!AJ39</f>
        <v>0.03</v>
      </c>
      <c r="AJ24">
        <f>Pricer!AK39</f>
        <v>0.03</v>
      </c>
      <c r="AK24">
        <f>Pricer!AL39</f>
        <v>0.03</v>
      </c>
      <c r="AL24">
        <f>Pricer!AM39</f>
        <v>0.03</v>
      </c>
      <c r="AM24">
        <f>Pricer!AN39</f>
        <v>0.03</v>
      </c>
      <c r="AN24">
        <f>Pricer!AO39</f>
        <v>0.03</v>
      </c>
      <c r="AO24">
        <f>Pricer!AP39</f>
        <v>0.03</v>
      </c>
      <c r="AP24">
        <f>Pricer!AQ39</f>
        <v>0.03</v>
      </c>
      <c r="AQ24">
        <f>Pricer!AR39</f>
        <v>0.03</v>
      </c>
      <c r="AR24">
        <f>Pricer!AS39</f>
        <v>0.03</v>
      </c>
      <c r="AS24">
        <f>Pricer!AT39</f>
        <v>0.03</v>
      </c>
      <c r="AT24">
        <f>Pricer!AU39</f>
        <v>0.03</v>
      </c>
      <c r="AU24">
        <f>Pricer!AV39</f>
        <v>0.03</v>
      </c>
      <c r="AV24">
        <f>Pricer!AW39</f>
        <v>0.03</v>
      </c>
    </row>
    <row r="25" spans="1:48">
      <c r="A25" s="17">
        <f>Pricer!B40</f>
        <v>0</v>
      </c>
      <c r="B25" s="17">
        <f>Pricer!C40</f>
        <v>0</v>
      </c>
      <c r="C25" s="17">
        <f>Pricer!D40</f>
        <v>0</v>
      </c>
      <c r="D25" s="17">
        <f>Pricer!E40</f>
        <v>0</v>
      </c>
      <c r="E25" s="17">
        <f>Pricer!F40</f>
        <v>0</v>
      </c>
      <c r="F25" s="17">
        <f>Pricer!G40</f>
        <v>0</v>
      </c>
      <c r="G25" s="17">
        <f>Pricer!H40</f>
        <v>0</v>
      </c>
      <c r="H25" s="17">
        <f>Pricer!I40</f>
        <v>0</v>
      </c>
      <c r="I25" s="17">
        <f>Pricer!J40</f>
        <v>0</v>
      </c>
      <c r="J25" s="17">
        <f>Pricer!K40</f>
        <v>0</v>
      </c>
      <c r="K25" s="17">
        <f>Pricer!L40</f>
        <v>0</v>
      </c>
      <c r="L25" s="17">
        <f>Pricer!M40</f>
        <v>0</v>
      </c>
      <c r="M25" s="17">
        <f>Pricer!N40</f>
        <v>0</v>
      </c>
      <c r="N25" s="17">
        <f>Pricer!O40</f>
        <v>0</v>
      </c>
      <c r="O25" s="17">
        <f>Pricer!P40</f>
        <v>0</v>
      </c>
      <c r="P25" s="17">
        <f>Pricer!Q40</f>
        <v>0</v>
      </c>
      <c r="Q25" s="17">
        <f>Pricer!R40</f>
        <v>0</v>
      </c>
      <c r="R25" s="17">
        <f>Pricer!S40</f>
        <v>0</v>
      </c>
      <c r="S25" s="17">
        <f>Pricer!T40</f>
        <v>0</v>
      </c>
      <c r="T25" s="17">
        <f>Pricer!U40</f>
        <v>0</v>
      </c>
      <c r="U25" s="17">
        <f>Pricer!V40</f>
        <v>0</v>
      </c>
      <c r="V25" s="17">
        <f>Pricer!W40</f>
        <v>0</v>
      </c>
      <c r="W25" s="17">
        <f>Pricer!X40</f>
        <v>0</v>
      </c>
      <c r="X25" s="17">
        <f>Pricer!Y40</f>
        <v>0</v>
      </c>
      <c r="Y25" s="17">
        <f>Pricer!Z40</f>
        <v>0</v>
      </c>
      <c r="Z25" s="17">
        <f>Pricer!AA40</f>
        <v>0</v>
      </c>
      <c r="AA25" s="17">
        <f>Pricer!AB40</f>
        <v>0</v>
      </c>
      <c r="AB25" s="17">
        <f>Pricer!AC40</f>
        <v>0</v>
      </c>
      <c r="AC25" s="17">
        <f>Pricer!AD40</f>
        <v>0</v>
      </c>
      <c r="AD25" s="17">
        <f>Pricer!AE40</f>
        <v>0</v>
      </c>
      <c r="AE25" s="17">
        <f>Pricer!AF40</f>
        <v>0</v>
      </c>
      <c r="AF25" s="17">
        <f>Pricer!AG40</f>
        <v>0</v>
      </c>
      <c r="AG25" s="17">
        <f>Pricer!AH40</f>
        <v>0</v>
      </c>
      <c r="AH25" s="17">
        <f>Pricer!AI40</f>
        <v>0</v>
      </c>
      <c r="AI25" s="17">
        <f>Pricer!AJ40</f>
        <v>0</v>
      </c>
      <c r="AJ25" s="17">
        <f>Pricer!AK40</f>
        <v>0</v>
      </c>
      <c r="AK25" s="17">
        <f>Pricer!AL40</f>
        <v>0</v>
      </c>
      <c r="AL25" s="17">
        <f>Pricer!AM40</f>
        <v>0</v>
      </c>
      <c r="AM25" s="17">
        <f>Pricer!AN40</f>
        <v>0</v>
      </c>
      <c r="AN25" s="17">
        <f>Pricer!AO40</f>
        <v>0</v>
      </c>
      <c r="AO25" s="17">
        <f>Pricer!AP40</f>
        <v>0</v>
      </c>
      <c r="AP25" s="17">
        <f>Pricer!AQ40</f>
        <v>0</v>
      </c>
      <c r="AQ25" s="17">
        <f>Pricer!AR40</f>
        <v>0</v>
      </c>
      <c r="AR25" s="17">
        <f>Pricer!AS40</f>
        <v>0</v>
      </c>
      <c r="AS25" s="17">
        <f>Pricer!AT40</f>
        <v>0</v>
      </c>
      <c r="AT25" s="17">
        <f>Pricer!AU40</f>
        <v>0</v>
      </c>
      <c r="AU25" s="17">
        <f>Pricer!AV40</f>
        <v>0</v>
      </c>
      <c r="AV25" s="17">
        <f>Pricer!AW40</f>
        <v>0</v>
      </c>
    </row>
    <row r="26" spans="1:48">
      <c r="A26" s="17">
        <f ca="1">Pricer!B41</f>
        <v>14392.535436558752</v>
      </c>
      <c r="B26" s="17">
        <f ca="1">Pricer!C41</f>
        <v>13833.102316555856</v>
      </c>
      <c r="C26" s="17">
        <f ca="1">Pricer!D41</f>
        <v>13259.598020706779</v>
      </c>
      <c r="D26" s="17">
        <f ca="1">Pricer!E41</f>
        <v>12676.669515732021</v>
      </c>
      <c r="E26" s="17">
        <f ca="1">Pricer!F41</f>
        <v>12164.947833853705</v>
      </c>
      <c r="F26" s="17">
        <f ca="1">Pricer!G41</f>
        <v>11715.918167307553</v>
      </c>
      <c r="G26" s="17">
        <f>Pricer!H41</f>
        <v>0</v>
      </c>
      <c r="H26" s="17">
        <f>Pricer!I41</f>
        <v>0</v>
      </c>
      <c r="I26" s="17">
        <f ca="1">Pricer!J41</f>
        <v>10520.548708389071</v>
      </c>
      <c r="J26" s="17">
        <f ca="1">Pricer!K41</f>
        <v>10149.948734589223</v>
      </c>
      <c r="K26" s="17">
        <f ca="1">Pricer!L41</f>
        <v>9768.5670052012792</v>
      </c>
      <c r="L26" s="17">
        <f ca="1">Pricer!M41</f>
        <v>9379.1977652990699</v>
      </c>
      <c r="M26" s="17">
        <f ca="1">Pricer!N41</f>
        <v>9035.8076650601051</v>
      </c>
      <c r="N26" s="17">
        <f ca="1">Pricer!O41</f>
        <v>8733.163836408994</v>
      </c>
      <c r="O26" s="17">
        <f>Pricer!P41</f>
        <v>0</v>
      </c>
      <c r="P26" s="17">
        <f>Pricer!Q41</f>
        <v>0</v>
      </c>
      <c r="Q26" s="17">
        <f ca="1">Pricer!R41</f>
        <v>9840.0455258319143</v>
      </c>
      <c r="R26" s="17">
        <f ca="1">Pricer!S41</f>
        <v>9504.1476281745799</v>
      </c>
      <c r="S26" s="17">
        <f ca="1">Pricer!T41</f>
        <v>9157.8395320422969</v>
      </c>
      <c r="T26" s="17">
        <f ca="1">Pricer!U41</f>
        <v>8803.5920016274686</v>
      </c>
      <c r="U26" s="17">
        <f ca="1">Pricer!V41</f>
        <v>8490.5877326079681</v>
      </c>
      <c r="V26" s="17">
        <f ca="1">Pricer!W41</f>
        <v>8214.2589711158707</v>
      </c>
      <c r="W26" s="17">
        <f>Pricer!X41</f>
        <v>0</v>
      </c>
      <c r="X26" s="17">
        <f>Pricer!Y41</f>
        <v>0</v>
      </c>
      <c r="Y26" s="17">
        <f ca="1">Pricer!Z41</f>
        <v>2165.3605554035353</v>
      </c>
      <c r="Z26" s="17">
        <f ca="1">Pricer!AA41</f>
        <v>2200.0160223607563</v>
      </c>
      <c r="AA26" s="17">
        <f ca="1">Pricer!AB41</f>
        <v>2230.2897505753172</v>
      </c>
      <c r="AB26" s="17">
        <f ca="1">Pricer!AC41</f>
        <v>2255.4349165389594</v>
      </c>
      <c r="AC26" s="17">
        <f ca="1">Pricer!AD41</f>
        <v>2272.6800369579387</v>
      </c>
      <c r="AD26" s="17">
        <f ca="1">Pricer!AE41</f>
        <v>2283.9753048293501</v>
      </c>
      <c r="AE26" s="17">
        <f>Pricer!AF41</f>
        <v>0</v>
      </c>
      <c r="AF26" s="17">
        <f>Pricer!AG41</f>
        <v>0</v>
      </c>
      <c r="AG26" s="17">
        <f ca="1">Pricer!AH41</f>
        <v>2076.5661580414803</v>
      </c>
      <c r="AH26" s="17">
        <f ca="1">Pricer!AI41</f>
        <v>2113.6763478381895</v>
      </c>
      <c r="AI26" s="17">
        <f ca="1">Pricer!AJ41</f>
        <v>2146.6417740506554</v>
      </c>
      <c r="AJ26" s="17">
        <f ca="1">Pricer!AK41</f>
        <v>2174.6951549796627</v>
      </c>
      <c r="AK26" s="17">
        <f ca="1">Pricer!AL41</f>
        <v>2194.62925732432</v>
      </c>
      <c r="AL26" s="17">
        <f ca="1">Pricer!AM41</f>
        <v>2208.384056105122</v>
      </c>
      <c r="AM26" s="17">
        <f>Pricer!AN41</f>
        <v>0</v>
      </c>
      <c r="AN26" s="17">
        <f>Pricer!AO41</f>
        <v>0</v>
      </c>
      <c r="AO26" s="17">
        <f ca="1">Pricer!AP41</f>
        <v>1114.7305390644387</v>
      </c>
      <c r="AP26" s="17">
        <f ca="1">Pricer!AQ41</f>
        <v>1167.1922758219523</v>
      </c>
      <c r="AQ26" s="17">
        <f ca="1">Pricer!AR41</f>
        <v>1218.7219039416423</v>
      </c>
      <c r="AR26" s="17">
        <f ca="1">Pricer!AS41</f>
        <v>1268.4691062538143</v>
      </c>
      <c r="AS26" s="17">
        <f ca="1">Pricer!AT41</f>
        <v>1309.7125867542895</v>
      </c>
      <c r="AT26" s="17">
        <f ca="1">Pricer!AU41</f>
        <v>1343.8563802370022</v>
      </c>
      <c r="AU26" s="17">
        <f>Pricer!AV41</f>
        <v>0</v>
      </c>
      <c r="AV26" s="17">
        <f>Pricer!AW41</f>
        <v>0</v>
      </c>
    </row>
    <row r="27" spans="1:48">
      <c r="A27">
        <f>Pricer!B42</f>
        <v>0</v>
      </c>
      <c r="B27">
        <f>Pricer!C42</f>
        <v>0</v>
      </c>
      <c r="C27">
        <f>Pricer!D42</f>
        <v>0</v>
      </c>
      <c r="D27">
        <f>Pricer!E42</f>
        <v>0</v>
      </c>
      <c r="E27">
        <f>Pricer!F42</f>
        <v>0</v>
      </c>
      <c r="F27">
        <f>Pricer!G42</f>
        <v>0</v>
      </c>
      <c r="G27">
        <f>Pricer!H42</f>
        <v>0</v>
      </c>
      <c r="H27">
        <f>Pricer!I42</f>
        <v>0</v>
      </c>
      <c r="I27">
        <f>Pricer!J42</f>
        <v>0</v>
      </c>
      <c r="J27">
        <f>Pricer!K42</f>
        <v>0</v>
      </c>
      <c r="K27">
        <f>Pricer!L42</f>
        <v>0</v>
      </c>
      <c r="L27">
        <f>Pricer!M42</f>
        <v>0</v>
      </c>
      <c r="M27">
        <f>Pricer!N42</f>
        <v>0</v>
      </c>
      <c r="N27">
        <f>Pricer!O42</f>
        <v>0</v>
      </c>
      <c r="O27">
        <f>Pricer!P42</f>
        <v>0</v>
      </c>
      <c r="P27">
        <f>Pricer!Q42</f>
        <v>0</v>
      </c>
      <c r="Q27">
        <f>Pricer!R42</f>
        <v>0</v>
      </c>
      <c r="R27">
        <f>Pricer!S42</f>
        <v>0</v>
      </c>
      <c r="S27">
        <f>Pricer!T42</f>
        <v>0</v>
      </c>
      <c r="T27">
        <f>Pricer!U42</f>
        <v>0</v>
      </c>
      <c r="U27">
        <f>Pricer!V42</f>
        <v>0</v>
      </c>
      <c r="V27">
        <f>Pricer!W42</f>
        <v>0</v>
      </c>
      <c r="W27">
        <f>Pricer!X42</f>
        <v>0</v>
      </c>
      <c r="X27">
        <f>Pricer!Y42</f>
        <v>0</v>
      </c>
      <c r="Y27">
        <f>Pricer!Z42</f>
        <v>0</v>
      </c>
      <c r="Z27">
        <f>Pricer!AA42</f>
        <v>0</v>
      </c>
      <c r="AA27">
        <f>Pricer!AB42</f>
        <v>0</v>
      </c>
      <c r="AB27">
        <f>Pricer!AC42</f>
        <v>0</v>
      </c>
      <c r="AC27">
        <f>Pricer!AD42</f>
        <v>0</v>
      </c>
      <c r="AD27">
        <f>Pricer!AE42</f>
        <v>0</v>
      </c>
      <c r="AE27">
        <f>Pricer!AF42</f>
        <v>0</v>
      </c>
      <c r="AF27">
        <f>Pricer!AG42</f>
        <v>0</v>
      </c>
      <c r="AG27">
        <f>Pricer!AH42</f>
        <v>0</v>
      </c>
      <c r="AH27">
        <f>Pricer!AI42</f>
        <v>0</v>
      </c>
      <c r="AI27">
        <f>Pricer!AJ42</f>
        <v>0</v>
      </c>
      <c r="AJ27">
        <f>Pricer!AK42</f>
        <v>0</v>
      </c>
      <c r="AK27">
        <f>Pricer!AL42</f>
        <v>0</v>
      </c>
      <c r="AL27">
        <f>Pricer!AM42</f>
        <v>0</v>
      </c>
      <c r="AM27">
        <f>Pricer!AN42</f>
        <v>0</v>
      </c>
      <c r="AN27">
        <f>Pricer!AO42</f>
        <v>0</v>
      </c>
      <c r="AO27">
        <f>Pricer!AP42</f>
        <v>0</v>
      </c>
      <c r="AP27">
        <f>Pricer!AQ42</f>
        <v>0</v>
      </c>
      <c r="AQ27">
        <f>Pricer!AR42</f>
        <v>0</v>
      </c>
      <c r="AR27">
        <f>Pricer!AS42</f>
        <v>0</v>
      </c>
      <c r="AS27">
        <f>Pricer!AT42</f>
        <v>0</v>
      </c>
      <c r="AT27">
        <f>Pricer!AU42</f>
        <v>0</v>
      </c>
      <c r="AU27">
        <f>Pricer!AV42</f>
        <v>0</v>
      </c>
      <c r="AV27">
        <f>Pricer!AW42</f>
        <v>0</v>
      </c>
    </row>
    <row r="28" spans="1:48">
      <c r="A28">
        <f>Pricer!B43</f>
        <v>0.12028560548362528</v>
      </c>
      <c r="B28">
        <f>Pricer!C43</f>
        <v>0.12028560548362528</v>
      </c>
      <c r="C28">
        <f>Pricer!D43</f>
        <v>0.12028560548362528</v>
      </c>
      <c r="D28">
        <f>Pricer!E43</f>
        <v>0.12028560548362528</v>
      </c>
      <c r="E28">
        <f>Pricer!F43</f>
        <v>0.12028560548362528</v>
      </c>
      <c r="F28">
        <f>Pricer!G43</f>
        <v>0.12028560548362528</v>
      </c>
      <c r="G28">
        <f>Pricer!H43</f>
        <v>0.12028560548362528</v>
      </c>
      <c r="H28">
        <f>Pricer!I43</f>
        <v>0.12028560548362528</v>
      </c>
      <c r="I28">
        <f>Pricer!J43</f>
        <v>0.12028560548362528</v>
      </c>
      <c r="J28">
        <f>Pricer!K43</f>
        <v>0.12028560548362528</v>
      </c>
      <c r="K28">
        <f>Pricer!L43</f>
        <v>0.12028560548362528</v>
      </c>
      <c r="L28">
        <f>Pricer!M43</f>
        <v>0.12028560548362528</v>
      </c>
      <c r="M28">
        <f>Pricer!N43</f>
        <v>0.12028560548362528</v>
      </c>
      <c r="N28">
        <f>Pricer!O43</f>
        <v>0.12028560548362528</v>
      </c>
      <c r="O28">
        <f>Pricer!P43</f>
        <v>0.12028560548362528</v>
      </c>
      <c r="P28">
        <f>Pricer!Q43</f>
        <v>0.12028560548362528</v>
      </c>
      <c r="Q28">
        <f>Pricer!R43</f>
        <v>0.12028560548362528</v>
      </c>
      <c r="R28">
        <f>Pricer!S43</f>
        <v>0.12028560548362528</v>
      </c>
      <c r="S28">
        <f>Pricer!T43</f>
        <v>0.12028560548362528</v>
      </c>
      <c r="T28">
        <f>Pricer!U43</f>
        <v>0.12028560548362528</v>
      </c>
      <c r="U28">
        <f>Pricer!V43</f>
        <v>0.12028560548362528</v>
      </c>
      <c r="V28">
        <f>Pricer!W43</f>
        <v>0.12028560548362528</v>
      </c>
      <c r="W28">
        <f>Pricer!X43</f>
        <v>0.12028560548362528</v>
      </c>
      <c r="X28">
        <f>Pricer!Y43</f>
        <v>0.12028560548362528</v>
      </c>
      <c r="Y28">
        <f>Pricer!Z43</f>
        <v>0.12028560548362528</v>
      </c>
      <c r="Z28">
        <f>Pricer!AA43</f>
        <v>0.12028560548362528</v>
      </c>
      <c r="AA28">
        <f>Pricer!AB43</f>
        <v>0.12028560548362528</v>
      </c>
      <c r="AB28">
        <f>Pricer!AC43</f>
        <v>0.12028560548362528</v>
      </c>
      <c r="AC28">
        <f>Pricer!AD43</f>
        <v>0.12028560548362528</v>
      </c>
      <c r="AD28">
        <f>Pricer!AE43</f>
        <v>0.12028560548362528</v>
      </c>
      <c r="AE28">
        <f>Pricer!AF43</f>
        <v>0.12028560548362528</v>
      </c>
      <c r="AF28">
        <f>Pricer!AG43</f>
        <v>0.12028560548362528</v>
      </c>
      <c r="AG28">
        <f>Pricer!AH43</f>
        <v>0.12028560548362528</v>
      </c>
      <c r="AH28">
        <f>Pricer!AI43</f>
        <v>0.12028560548362528</v>
      </c>
      <c r="AI28">
        <f>Pricer!AJ43</f>
        <v>0.12028560548362528</v>
      </c>
      <c r="AJ28">
        <f>Pricer!AK43</f>
        <v>0.12028560548362528</v>
      </c>
      <c r="AK28">
        <f>Pricer!AL43</f>
        <v>0.12028560548362528</v>
      </c>
      <c r="AL28">
        <f>Pricer!AM43</f>
        <v>0.12028560548362528</v>
      </c>
      <c r="AM28">
        <f>Pricer!AN43</f>
        <v>0.12028560548362528</v>
      </c>
      <c r="AN28">
        <f>Pricer!AO43</f>
        <v>0.12028560548362528</v>
      </c>
      <c r="AO28">
        <f>Pricer!AP43</f>
        <v>0.12028560548362528</v>
      </c>
      <c r="AP28">
        <f>Pricer!AQ43</f>
        <v>0.12028560548362528</v>
      </c>
      <c r="AQ28">
        <f>Pricer!AR43</f>
        <v>0.12028560548362528</v>
      </c>
      <c r="AR28">
        <f>Pricer!AS43</f>
        <v>0.12028560548362528</v>
      </c>
      <c r="AS28">
        <f>Pricer!AT43</f>
        <v>0.12028560548362528</v>
      </c>
      <c r="AT28">
        <f>Pricer!AU43</f>
        <v>0.12028560548362528</v>
      </c>
      <c r="AU28">
        <f>Pricer!AV43</f>
        <v>0.12028560548362528</v>
      </c>
      <c r="AV28">
        <f>Pricer!AW43</f>
        <v>0.12028560548362528</v>
      </c>
    </row>
    <row r="29" spans="1:48">
      <c r="A29">
        <f>Pricer!B44</f>
        <v>0.03</v>
      </c>
      <c r="B29">
        <f>Pricer!C44</f>
        <v>0.03</v>
      </c>
      <c r="C29">
        <f>Pricer!D44</f>
        <v>0.03</v>
      </c>
      <c r="D29">
        <f>Pricer!E44</f>
        <v>0.03</v>
      </c>
      <c r="E29">
        <f>Pricer!F44</f>
        <v>0.03</v>
      </c>
      <c r="F29">
        <f>Pricer!G44</f>
        <v>0.03</v>
      </c>
      <c r="G29">
        <f>Pricer!H44</f>
        <v>0.03</v>
      </c>
      <c r="H29">
        <f>Pricer!I44</f>
        <v>0.03</v>
      </c>
      <c r="I29">
        <f>Pricer!J44</f>
        <v>0.03</v>
      </c>
      <c r="J29">
        <f>Pricer!K44</f>
        <v>0.03</v>
      </c>
      <c r="K29">
        <f>Pricer!L44</f>
        <v>0.03</v>
      </c>
      <c r="L29">
        <f>Pricer!M44</f>
        <v>0.03</v>
      </c>
      <c r="M29">
        <f>Pricer!N44</f>
        <v>0.03</v>
      </c>
      <c r="N29">
        <f>Pricer!O44</f>
        <v>0.03</v>
      </c>
      <c r="O29">
        <f>Pricer!P44</f>
        <v>0.03</v>
      </c>
      <c r="P29">
        <f>Pricer!Q44</f>
        <v>0.03</v>
      </c>
      <c r="Q29">
        <f>Pricer!R44</f>
        <v>0.03</v>
      </c>
      <c r="R29">
        <f>Pricer!S44</f>
        <v>0.03</v>
      </c>
      <c r="S29">
        <f>Pricer!T44</f>
        <v>0.03</v>
      </c>
      <c r="T29">
        <f>Pricer!U44</f>
        <v>0.03</v>
      </c>
      <c r="U29">
        <f>Pricer!V44</f>
        <v>0.03</v>
      </c>
      <c r="V29">
        <f>Pricer!W44</f>
        <v>0.03</v>
      </c>
      <c r="W29">
        <f>Pricer!X44</f>
        <v>0.03</v>
      </c>
      <c r="X29">
        <f>Pricer!Y44</f>
        <v>0.03</v>
      </c>
      <c r="Y29">
        <f>Pricer!Z44</f>
        <v>0.03</v>
      </c>
      <c r="Z29">
        <f>Pricer!AA44</f>
        <v>0.03</v>
      </c>
      <c r="AA29">
        <f>Pricer!AB44</f>
        <v>0.03</v>
      </c>
      <c r="AB29">
        <f>Pricer!AC44</f>
        <v>0.03</v>
      </c>
      <c r="AC29">
        <f>Pricer!AD44</f>
        <v>0.03</v>
      </c>
      <c r="AD29">
        <f>Pricer!AE44</f>
        <v>0.03</v>
      </c>
      <c r="AE29">
        <f>Pricer!AF44</f>
        <v>0.03</v>
      </c>
      <c r="AF29">
        <f>Pricer!AG44</f>
        <v>0.03</v>
      </c>
      <c r="AG29">
        <f>Pricer!AH44</f>
        <v>0.03</v>
      </c>
      <c r="AH29">
        <f>Pricer!AI44</f>
        <v>0.03</v>
      </c>
      <c r="AI29">
        <f>Pricer!AJ44</f>
        <v>0.03</v>
      </c>
      <c r="AJ29">
        <f>Pricer!AK44</f>
        <v>0.03</v>
      </c>
      <c r="AK29">
        <f>Pricer!AL44</f>
        <v>0.03</v>
      </c>
      <c r="AL29">
        <f>Pricer!AM44</f>
        <v>0.03</v>
      </c>
      <c r="AM29">
        <f>Pricer!AN44</f>
        <v>0.03</v>
      </c>
      <c r="AN29">
        <f>Pricer!AO44</f>
        <v>0.03</v>
      </c>
      <c r="AO29">
        <f>Pricer!AP44</f>
        <v>0.03</v>
      </c>
      <c r="AP29">
        <f>Pricer!AQ44</f>
        <v>0.03</v>
      </c>
      <c r="AQ29">
        <f>Pricer!AR44</f>
        <v>0.03</v>
      </c>
      <c r="AR29">
        <f>Pricer!AS44</f>
        <v>0.03</v>
      </c>
      <c r="AS29">
        <f>Pricer!AT44</f>
        <v>0.03</v>
      </c>
      <c r="AT29">
        <f>Pricer!AU44</f>
        <v>0.03</v>
      </c>
      <c r="AU29">
        <f>Pricer!AV44</f>
        <v>0.03</v>
      </c>
      <c r="AV29">
        <f>Pricer!AW44</f>
        <v>0.03</v>
      </c>
    </row>
    <row r="30" spans="1:48">
      <c r="A30" s="17">
        <f>Pricer!B45</f>
        <v>968.8315840294631</v>
      </c>
      <c r="B30" s="17">
        <f>Pricer!C45</f>
        <v>1032.6104657367316</v>
      </c>
      <c r="C30" s="17">
        <f>Pricer!D45</f>
        <v>1101.7042542529396</v>
      </c>
      <c r="D30" s="17">
        <f>Pricer!E45</f>
        <v>1176.1129495780865</v>
      </c>
      <c r="E30" s="17">
        <f>Pricer!F45</f>
        <v>1245.2067380942942</v>
      </c>
      <c r="F30" s="17">
        <f>Pricer!G45</f>
        <v>1308.985619801563</v>
      </c>
      <c r="G30" s="17">
        <f>Pricer!H45</f>
        <v>1308.985619801563</v>
      </c>
      <c r="H30" s="17">
        <f>Pricer!I45</f>
        <v>1308.985619801563</v>
      </c>
      <c r="I30" s="17">
        <f>Pricer!J45</f>
        <v>968.8315840294631</v>
      </c>
      <c r="J30" s="17">
        <f>Pricer!K45</f>
        <v>1032.6104657367316</v>
      </c>
      <c r="K30" s="17">
        <f>Pricer!L45</f>
        <v>1101.7042542529396</v>
      </c>
      <c r="L30" s="17">
        <f>Pricer!M45</f>
        <v>1176.1129495780865</v>
      </c>
      <c r="M30" s="17">
        <f>Pricer!N45</f>
        <v>1245.2067380942942</v>
      </c>
      <c r="N30" s="17">
        <f>Pricer!O45</f>
        <v>1308.985619801563</v>
      </c>
      <c r="O30" s="17">
        <f>Pricer!P45</f>
        <v>1308.985619801563</v>
      </c>
      <c r="P30" s="17">
        <f>Pricer!Q45</f>
        <v>1308.985619801563</v>
      </c>
      <c r="Q30" s="17">
        <f>Pricer!R45</f>
        <v>968.8315840294631</v>
      </c>
      <c r="R30" s="17">
        <f>Pricer!S45</f>
        <v>1032.6104657367316</v>
      </c>
      <c r="S30" s="17">
        <f>Pricer!T45</f>
        <v>1101.7042542529396</v>
      </c>
      <c r="T30" s="17">
        <f>Pricer!U45</f>
        <v>1176.1129495780865</v>
      </c>
      <c r="U30" s="17">
        <f>Pricer!V45</f>
        <v>1245.2067380942942</v>
      </c>
      <c r="V30" s="17">
        <f>Pricer!W45</f>
        <v>1308.985619801563</v>
      </c>
      <c r="W30" s="17">
        <f>Pricer!X45</f>
        <v>1308.985619801563</v>
      </c>
      <c r="X30" s="17">
        <f>Pricer!Y45</f>
        <v>1308.985619801563</v>
      </c>
      <c r="Y30" s="17">
        <f>Pricer!Z45</f>
        <v>968.8315840294631</v>
      </c>
      <c r="Z30" s="17">
        <f>Pricer!AA45</f>
        <v>1032.6104657367316</v>
      </c>
      <c r="AA30" s="17">
        <f>Pricer!AB45</f>
        <v>1101.7042542529396</v>
      </c>
      <c r="AB30" s="17">
        <f>Pricer!AC45</f>
        <v>1176.1129495780865</v>
      </c>
      <c r="AC30" s="17">
        <f>Pricer!AD45</f>
        <v>1245.2067380942942</v>
      </c>
      <c r="AD30" s="17">
        <f>Pricer!AE45</f>
        <v>1308.985619801563</v>
      </c>
      <c r="AE30" s="17">
        <f>Pricer!AF45</f>
        <v>1308.985619801563</v>
      </c>
      <c r="AF30" s="17">
        <f>Pricer!AG45</f>
        <v>1308.985619801563</v>
      </c>
      <c r="AG30" s="17">
        <f>Pricer!AH45</f>
        <v>968.8315840294631</v>
      </c>
      <c r="AH30" s="17">
        <f>Pricer!AI45</f>
        <v>1032.6104657367316</v>
      </c>
      <c r="AI30" s="17">
        <f>Pricer!AJ45</f>
        <v>1101.7042542529396</v>
      </c>
      <c r="AJ30" s="17">
        <f>Pricer!AK45</f>
        <v>1176.1129495780865</v>
      </c>
      <c r="AK30" s="17">
        <f>Pricer!AL45</f>
        <v>1245.2067380942942</v>
      </c>
      <c r="AL30" s="17">
        <f>Pricer!AM45</f>
        <v>1308.985619801563</v>
      </c>
      <c r="AM30" s="17">
        <f>Pricer!AN45</f>
        <v>1308.985619801563</v>
      </c>
      <c r="AN30" s="17">
        <f>Pricer!AO45</f>
        <v>1308.985619801563</v>
      </c>
      <c r="AO30" s="17">
        <f>Pricer!AP45</f>
        <v>968.8315840294631</v>
      </c>
      <c r="AP30" s="17">
        <f>Pricer!AQ45</f>
        <v>1032.6104657367316</v>
      </c>
      <c r="AQ30" s="17">
        <f>Pricer!AR45</f>
        <v>1101.7042542529396</v>
      </c>
      <c r="AR30" s="17">
        <f>Pricer!AS45</f>
        <v>1176.1129495780865</v>
      </c>
      <c r="AS30" s="17">
        <f>Pricer!AT45</f>
        <v>1245.2067380942942</v>
      </c>
      <c r="AT30" s="17">
        <f>Pricer!AU45</f>
        <v>1308.985619801563</v>
      </c>
      <c r="AU30" s="17">
        <f>Pricer!AV45</f>
        <v>1308.985619801563</v>
      </c>
      <c r="AV30" s="17">
        <f>Pricer!AW45</f>
        <v>1308.985619801563</v>
      </c>
    </row>
    <row r="31" spans="1:48">
      <c r="A31" s="17">
        <f ca="1">Pricer!B46</f>
        <v>15361.367020588215</v>
      </c>
      <c r="B31" s="17">
        <f ca="1">Pricer!C46</f>
        <v>14865.712782292589</v>
      </c>
      <c r="C31" s="17">
        <f ca="1">Pricer!D46</f>
        <v>14361.302274959718</v>
      </c>
      <c r="D31" s="17">
        <f ca="1">Pricer!E46</f>
        <v>13852.782465310107</v>
      </c>
      <c r="E31" s="17">
        <f ca="1">Pricer!F46</f>
        <v>13410.154571947998</v>
      </c>
      <c r="F31" s="17">
        <f ca="1">Pricer!G46</f>
        <v>13024.903787109115</v>
      </c>
      <c r="G31" s="17">
        <f>Pricer!H46</f>
        <v>1308.985619801563</v>
      </c>
      <c r="H31" s="17">
        <f>Pricer!I46</f>
        <v>1308.985619801563</v>
      </c>
      <c r="I31" s="17">
        <f ca="1">Pricer!J46</f>
        <v>11489.380292418535</v>
      </c>
      <c r="J31" s="17">
        <f ca="1">Pricer!K46</f>
        <v>11182.559200325955</v>
      </c>
      <c r="K31" s="17">
        <f ca="1">Pricer!L46</f>
        <v>10870.271259454219</v>
      </c>
      <c r="L31" s="17">
        <f ca="1">Pricer!M46</f>
        <v>10555.310714877156</v>
      </c>
      <c r="M31" s="17">
        <f ca="1">Pricer!N46</f>
        <v>10281.014403154399</v>
      </c>
      <c r="N31" s="17">
        <f ca="1">Pricer!O46</f>
        <v>10042.149456210556</v>
      </c>
      <c r="O31" s="17">
        <f>Pricer!P46</f>
        <v>1308.985619801563</v>
      </c>
      <c r="P31" s="17">
        <f>Pricer!Q46</f>
        <v>1308.985619801563</v>
      </c>
      <c r="Q31" s="17">
        <f ca="1">Pricer!R46</f>
        <v>10808.877109861378</v>
      </c>
      <c r="R31" s="17">
        <f ca="1">Pricer!S46</f>
        <v>10536.758093911312</v>
      </c>
      <c r="S31" s="17">
        <f ca="1">Pricer!T46</f>
        <v>10259.543786295237</v>
      </c>
      <c r="T31" s="17">
        <f ca="1">Pricer!U46</f>
        <v>9979.7049512055546</v>
      </c>
      <c r="U31" s="17">
        <f ca="1">Pricer!V46</f>
        <v>9735.7944707022616</v>
      </c>
      <c r="V31" s="17">
        <f ca="1">Pricer!W46</f>
        <v>9523.244590917433</v>
      </c>
      <c r="W31" s="17">
        <f>Pricer!X46</f>
        <v>1308.985619801563</v>
      </c>
      <c r="X31" s="17">
        <f>Pricer!Y46</f>
        <v>1308.985619801563</v>
      </c>
      <c r="Y31" s="17">
        <f ca="1">Pricer!Z46</f>
        <v>3134.1921394329984</v>
      </c>
      <c r="Z31" s="17">
        <f ca="1">Pricer!AA46</f>
        <v>3232.6264880974877</v>
      </c>
      <c r="AA31" s="17">
        <f ca="1">Pricer!AB46</f>
        <v>3331.9940048282569</v>
      </c>
      <c r="AB31" s="17">
        <f ca="1">Pricer!AC46</f>
        <v>3431.5478661170459</v>
      </c>
      <c r="AC31" s="17">
        <f ca="1">Pricer!AD46</f>
        <v>3517.8867750522331</v>
      </c>
      <c r="AD31" s="17">
        <f ca="1">Pricer!AE46</f>
        <v>3592.9609246309128</v>
      </c>
      <c r="AE31" s="17">
        <f>Pricer!AF46</f>
        <v>1308.985619801563</v>
      </c>
      <c r="AF31" s="17">
        <f>Pricer!AG46</f>
        <v>1308.985619801563</v>
      </c>
      <c r="AG31" s="17">
        <f ca="1">Pricer!AH46</f>
        <v>3045.3977420709434</v>
      </c>
      <c r="AH31" s="17">
        <f ca="1">Pricer!AI46</f>
        <v>3146.2868135749213</v>
      </c>
      <c r="AI31" s="17">
        <f ca="1">Pricer!AJ46</f>
        <v>3248.3460283035947</v>
      </c>
      <c r="AJ31" s="17">
        <f ca="1">Pricer!AK46</f>
        <v>3350.8081045577492</v>
      </c>
      <c r="AK31" s="17">
        <f ca="1">Pricer!AL46</f>
        <v>3439.8359954186144</v>
      </c>
      <c r="AL31" s="17">
        <f ca="1">Pricer!AM46</f>
        <v>3517.3696759066852</v>
      </c>
      <c r="AM31" s="17">
        <f>Pricer!AN46</f>
        <v>1308.985619801563</v>
      </c>
      <c r="AN31" s="17">
        <f>Pricer!AO46</f>
        <v>1308.985619801563</v>
      </c>
      <c r="AO31" s="17">
        <f ca="1">Pricer!AP46</f>
        <v>2083.5621230939018</v>
      </c>
      <c r="AP31" s="17">
        <f ca="1">Pricer!AQ46</f>
        <v>2199.8027415586839</v>
      </c>
      <c r="AQ31" s="17">
        <f ca="1">Pricer!AR46</f>
        <v>2320.4261581945821</v>
      </c>
      <c r="AR31" s="17">
        <f ca="1">Pricer!AS46</f>
        <v>2444.582055831901</v>
      </c>
      <c r="AS31" s="17">
        <f ca="1">Pricer!AT46</f>
        <v>2554.9193248485835</v>
      </c>
      <c r="AT31" s="17">
        <f ca="1">Pricer!AU46</f>
        <v>2652.8420000385649</v>
      </c>
      <c r="AU31" s="17">
        <f>Pricer!AV46</f>
        <v>1308.985619801563</v>
      </c>
      <c r="AV31" s="17">
        <f>Pricer!AW46</f>
        <v>1308.985619801563</v>
      </c>
    </row>
    <row r="32" spans="1:48">
      <c r="A32" s="36">
        <f>Pricer!B47</f>
        <v>-10.049999999999999</v>
      </c>
      <c r="B32" s="36">
        <f>Pricer!C47</f>
        <v>-10.049999999999999</v>
      </c>
      <c r="C32" s="36">
        <f>Pricer!D47</f>
        <v>-10.049999999999999</v>
      </c>
      <c r="D32" s="36">
        <f>Pricer!E47</f>
        <v>-10.049999999999999</v>
      </c>
      <c r="E32" s="36">
        <f>Pricer!F47</f>
        <v>-10.049999999999999</v>
      </c>
      <c r="F32" s="36">
        <f>Pricer!G47</f>
        <v>-10.049999999999999</v>
      </c>
      <c r="G32" s="36">
        <f>Pricer!H47</f>
        <v>0</v>
      </c>
      <c r="H32" s="36">
        <f>Pricer!I47</f>
        <v>0</v>
      </c>
      <c r="I32" s="36">
        <f>Pricer!J47</f>
        <v>9.0499999999999972</v>
      </c>
      <c r="J32" s="36">
        <f>Pricer!K47</f>
        <v>9.0499999999999972</v>
      </c>
      <c r="K32" s="36">
        <f>Pricer!L47</f>
        <v>9.0499999999999972</v>
      </c>
      <c r="L32" s="36">
        <f>Pricer!M47</f>
        <v>9.0499999999999972</v>
      </c>
      <c r="M32" s="36">
        <f>Pricer!N47</f>
        <v>9.0499999999999972</v>
      </c>
      <c r="N32" s="36">
        <f>Pricer!O47</f>
        <v>9.0499999999999972</v>
      </c>
      <c r="O32" s="36">
        <f>Pricer!P47</f>
        <v>0</v>
      </c>
      <c r="P32" s="36">
        <f>Pricer!Q47</f>
        <v>0</v>
      </c>
      <c r="Q32" s="36">
        <f>Pricer!R47</f>
        <v>1.0000000000000009</v>
      </c>
      <c r="R32" s="36">
        <f>Pricer!S47</f>
        <v>1.0000000000000009</v>
      </c>
      <c r="S32" s="36">
        <f>Pricer!T47</f>
        <v>1.0000000000000009</v>
      </c>
      <c r="T32" s="36">
        <f>Pricer!U47</f>
        <v>1.0000000000000009</v>
      </c>
      <c r="U32" s="36">
        <f>Pricer!V47</f>
        <v>1.0000000000000009</v>
      </c>
      <c r="V32" s="36">
        <f>Pricer!W47</f>
        <v>1.0000000000000009</v>
      </c>
      <c r="W32" s="36">
        <f>Pricer!X47</f>
        <v>0</v>
      </c>
      <c r="X32" s="36">
        <f>Pricer!Y47</f>
        <v>0</v>
      </c>
      <c r="Y32" s="36">
        <f>Pricer!Z47</f>
        <v>-25.6</v>
      </c>
      <c r="Z32" s="36">
        <f>Pricer!AA47</f>
        <v>-25.6</v>
      </c>
      <c r="AA32" s="36">
        <f>Pricer!AB47</f>
        <v>-25.6</v>
      </c>
      <c r="AB32" s="36">
        <f>Pricer!AC47</f>
        <v>-25.6</v>
      </c>
      <c r="AC32" s="36">
        <f>Pricer!AD47</f>
        <v>-25.6</v>
      </c>
      <c r="AD32" s="36">
        <f>Pricer!AE47</f>
        <v>-25.6</v>
      </c>
      <c r="AE32" s="36">
        <f>Pricer!AF47</f>
        <v>0</v>
      </c>
      <c r="AF32" s="36">
        <f>Pricer!AG47</f>
        <v>0</v>
      </c>
      <c r="AG32" s="36">
        <f>Pricer!AH47</f>
        <v>24</v>
      </c>
      <c r="AH32" s="36">
        <f>Pricer!AI47</f>
        <v>24</v>
      </c>
      <c r="AI32" s="36">
        <f>Pricer!AJ47</f>
        <v>24</v>
      </c>
      <c r="AJ32" s="36">
        <f>Pricer!AK47</f>
        <v>24</v>
      </c>
      <c r="AK32" s="36">
        <f>Pricer!AL47</f>
        <v>24</v>
      </c>
      <c r="AL32" s="36">
        <f>Pricer!AM47</f>
        <v>24</v>
      </c>
      <c r="AM32" s="36">
        <f>Pricer!AN47</f>
        <v>0</v>
      </c>
      <c r="AN32" s="36">
        <f>Pricer!AO47</f>
        <v>0</v>
      </c>
      <c r="AO32" s="36">
        <f>Pricer!AP47</f>
        <v>1</v>
      </c>
      <c r="AP32" s="36">
        <f>Pricer!AQ47</f>
        <v>1</v>
      </c>
      <c r="AQ32" s="36">
        <f>Pricer!AR47</f>
        <v>1</v>
      </c>
      <c r="AR32" s="36">
        <f>Pricer!AS47</f>
        <v>1</v>
      </c>
      <c r="AS32" s="36">
        <f>Pricer!AT47</f>
        <v>1</v>
      </c>
      <c r="AT32" s="36">
        <f>Pricer!AU47</f>
        <v>1</v>
      </c>
      <c r="AU32" s="36">
        <f>Pricer!AV47</f>
        <v>0</v>
      </c>
      <c r="AV32" s="36">
        <f>Pricer!AW47</f>
        <v>0</v>
      </c>
    </row>
    <row r="33" spans="1:48">
      <c r="A33" s="8" t="str">
        <f>Pricer!B48</f>
        <v>Sell</v>
      </c>
      <c r="B33" s="8" t="str">
        <f>Pricer!C48</f>
        <v>Sell</v>
      </c>
      <c r="C33" s="8" t="str">
        <f>Pricer!D48</f>
        <v>Sell</v>
      </c>
      <c r="D33" s="8" t="str">
        <f>Pricer!E48</f>
        <v>Sell</v>
      </c>
      <c r="E33" s="8" t="str">
        <f>Pricer!F48</f>
        <v>Sell</v>
      </c>
      <c r="F33" s="8" t="str">
        <f>Pricer!G48</f>
        <v>Sell</v>
      </c>
      <c r="G33" s="8" t="str">
        <f>Pricer!H48</f>
        <v>Buy</v>
      </c>
      <c r="H33" s="8" t="str">
        <f>Pricer!I48</f>
        <v>Buy</v>
      </c>
      <c r="I33" s="8" t="str">
        <f>Pricer!J48</f>
        <v>Buy</v>
      </c>
      <c r="J33" s="8" t="str">
        <f>Pricer!K48</f>
        <v>Buy</v>
      </c>
      <c r="K33" s="8" t="str">
        <f>Pricer!L48</f>
        <v>Buy</v>
      </c>
      <c r="L33" s="8" t="str">
        <f>Pricer!M48</f>
        <v>Buy</v>
      </c>
      <c r="M33" s="8" t="str">
        <f>Pricer!N48</f>
        <v>Buy</v>
      </c>
      <c r="N33" s="8" t="str">
        <f>Pricer!O48</f>
        <v>Buy</v>
      </c>
      <c r="O33" s="8" t="str">
        <f>Pricer!P48</f>
        <v>Buy</v>
      </c>
      <c r="P33" s="8" t="str">
        <f>Pricer!Q48</f>
        <v>Buy</v>
      </c>
      <c r="Q33" s="8" t="str">
        <f>Pricer!R48</f>
        <v>Buy</v>
      </c>
      <c r="R33" s="8" t="str">
        <f>Pricer!S48</f>
        <v>Buy</v>
      </c>
      <c r="S33" s="8" t="str">
        <f>Pricer!T48</f>
        <v>Buy</v>
      </c>
      <c r="T33" s="8" t="str">
        <f>Pricer!U48</f>
        <v>Buy</v>
      </c>
      <c r="U33" s="8" t="str">
        <f>Pricer!V48</f>
        <v>Buy</v>
      </c>
      <c r="V33" s="8" t="str">
        <f>Pricer!W48</f>
        <v>Buy</v>
      </c>
      <c r="W33" s="8" t="str">
        <f>Pricer!X48</f>
        <v>Buy</v>
      </c>
      <c r="X33" s="8" t="str">
        <f>Pricer!Y48</f>
        <v>Buy</v>
      </c>
      <c r="Y33" s="8" t="str">
        <f>Pricer!Z48</f>
        <v>Sell</v>
      </c>
      <c r="Z33" s="8" t="str">
        <f>Pricer!AA48</f>
        <v>Sell</v>
      </c>
      <c r="AA33" s="8" t="str">
        <f>Pricer!AB48</f>
        <v>Sell</v>
      </c>
      <c r="AB33" s="8" t="str">
        <f>Pricer!AC48</f>
        <v>Sell</v>
      </c>
      <c r="AC33" s="8" t="str">
        <f>Pricer!AD48</f>
        <v>Sell</v>
      </c>
      <c r="AD33" s="8" t="str">
        <f>Pricer!AE48</f>
        <v>Sell</v>
      </c>
      <c r="AE33" s="8" t="str">
        <f>Pricer!AF48</f>
        <v>Buy</v>
      </c>
      <c r="AF33" s="8" t="str">
        <f>Pricer!AG48</f>
        <v>Buy</v>
      </c>
      <c r="AG33" s="8" t="str">
        <f>Pricer!AH48</f>
        <v>Buy</v>
      </c>
      <c r="AH33" s="8" t="str">
        <f>Pricer!AI48</f>
        <v>Buy</v>
      </c>
      <c r="AI33" s="8" t="str">
        <f>Pricer!AJ48</f>
        <v>Buy</v>
      </c>
      <c r="AJ33" s="8" t="str">
        <f>Pricer!AK48</f>
        <v>Buy</v>
      </c>
      <c r="AK33" s="8" t="str">
        <f>Pricer!AL48</f>
        <v>Buy</v>
      </c>
      <c r="AL33" s="8" t="str">
        <f>Pricer!AM48</f>
        <v>Buy</v>
      </c>
      <c r="AM33" s="8" t="str">
        <f>Pricer!AN48</f>
        <v>Buy</v>
      </c>
      <c r="AN33" s="8" t="str">
        <f>Pricer!AO48</f>
        <v>Buy</v>
      </c>
      <c r="AO33" s="8" t="str">
        <f>Pricer!AP48</f>
        <v>Buy</v>
      </c>
      <c r="AP33" s="8" t="str">
        <f>Pricer!AQ48</f>
        <v>Buy</v>
      </c>
      <c r="AQ33" s="8" t="str">
        <f>Pricer!AR48</f>
        <v>Buy</v>
      </c>
      <c r="AR33" s="8" t="str">
        <f>Pricer!AS48</f>
        <v>Buy</v>
      </c>
      <c r="AS33" s="8" t="str">
        <f>Pricer!AT48</f>
        <v>Buy</v>
      </c>
      <c r="AT33" s="8" t="str">
        <f>Pricer!AU48</f>
        <v>Buy</v>
      </c>
      <c r="AU33" s="8" t="str">
        <f>Pricer!AV48</f>
        <v>Buy</v>
      </c>
      <c r="AV33" s="8" t="str">
        <f>Pricer!AW48</f>
        <v>Buy</v>
      </c>
    </row>
    <row r="34" spans="1:48">
      <c r="A34" s="36">
        <f ca="1">Pricer!B49</f>
        <v>-0.61761614151510003</v>
      </c>
      <c r="B34" s="36">
        <f ca="1">Pricer!C49</f>
        <v>-0.59209429874863417</v>
      </c>
      <c r="C34" s="36">
        <f ca="1">Pricer!D49</f>
        <v>-0.56583086870341504</v>
      </c>
      <c r="D34" s="36">
        <f ca="1">Pricer!E49</f>
        <v>-0.53907820379572513</v>
      </c>
      <c r="E34" s="36">
        <f ca="1">Pricer!F49</f>
        <v>-0.51557895609767002</v>
      </c>
      <c r="F34" s="36">
        <f ca="1">Pricer!G49</f>
        <v>-0.49496908739638457</v>
      </c>
      <c r="G34" s="36">
        <f>Pricer!H49</f>
        <v>0</v>
      </c>
      <c r="H34" s="36">
        <f>Pricer!I49</f>
        <v>0</v>
      </c>
      <c r="I34" s="36">
        <f ca="1">Pricer!J49</f>
        <v>-0.50434077491263452</v>
      </c>
      <c r="J34" s="36">
        <f ca="1">Pricer!K49</f>
        <v>-0.48202283495811571</v>
      </c>
      <c r="K34" s="36">
        <f ca="1">Pricer!L49</f>
        <v>-0.45938064974143344</v>
      </c>
      <c r="L34" s="36">
        <f ca="1">Pricer!M49</f>
        <v>-0.43661484731819655</v>
      </c>
      <c r="M34" s="36">
        <f ca="1">Pricer!N49</f>
        <v>-0.41683753476354468</v>
      </c>
      <c r="N34" s="36">
        <f ca="1">Pricer!O49</f>
        <v>-0.39964333577154321</v>
      </c>
      <c r="O34" s="36">
        <f>Pricer!P49</f>
        <v>0</v>
      </c>
      <c r="P34" s="36">
        <f>Pricer!Q49</f>
        <v>0</v>
      </c>
      <c r="Q34" s="36">
        <f ca="1">Pricer!R49</f>
        <v>-0.48107987407092878</v>
      </c>
      <c r="R34" s="36">
        <f ca="1">Pricer!S49</f>
        <v>-0.45968102258484578</v>
      </c>
      <c r="S34" s="36">
        <f ca="1">Pricer!T49</f>
        <v>-0.43801221616195107</v>
      </c>
      <c r="T34" s="36">
        <f ca="1">Pricer!U49</f>
        <v>-0.41626169254777778</v>
      </c>
      <c r="U34" s="36">
        <f ca="1">Pricer!V49</f>
        <v>-0.39739253210609604</v>
      </c>
      <c r="V34" s="36">
        <f ca="1">Pricer!W49</f>
        <v>-0.38100527094866266</v>
      </c>
      <c r="W34" s="36">
        <f>Pricer!X49</f>
        <v>0</v>
      </c>
      <c r="X34" s="36">
        <f>Pricer!Y49</f>
        <v>0</v>
      </c>
      <c r="Y34" s="36">
        <f ca="1">Pricer!Z49</f>
        <v>-0.12667917660019157</v>
      </c>
      <c r="Z34" s="36">
        <f ca="1">Pricer!AA49</f>
        <v>-0.12442710526147494</v>
      </c>
      <c r="AA34" s="36">
        <f ca="1">Pricer!AB49</f>
        <v>-0.12191653874197073</v>
      </c>
      <c r="AB34" s="36">
        <f ca="1">Pricer!AC49</f>
        <v>-0.11916379021931789</v>
      </c>
      <c r="AC34" s="36">
        <f ca="1">Pricer!AD49</f>
        <v>-0.11658624346637225</v>
      </c>
      <c r="AD34" s="36">
        <f ca="1">Pricer!AE49</f>
        <v>-0.1142040323816218</v>
      </c>
      <c r="AE34" s="36">
        <f>Pricer!AF49</f>
        <v>0</v>
      </c>
      <c r="AF34" s="36">
        <f>Pricer!AG49</f>
        <v>0</v>
      </c>
      <c r="AG34" s="36">
        <f ca="1">Pricer!AH49</f>
        <v>-0.12156805333142984</v>
      </c>
      <c r="AH34" s="36">
        <f ca="1">Pricer!AI49</f>
        <v>-0.11957388716973583</v>
      </c>
      <c r="AI34" s="36">
        <f ca="1">Pricer!AJ49</f>
        <v>-0.11732192113686324</v>
      </c>
      <c r="AJ34" s="36">
        <f ca="1">Pricer!AK49</f>
        <v>-0.11482619211346901</v>
      </c>
      <c r="AK34" s="36">
        <f ca="1">Pricer!AL49</f>
        <v>-0.11246956912873429</v>
      </c>
      <c r="AL34" s="36">
        <f ca="1">Pricer!AM49</f>
        <v>-0.11027769914562668</v>
      </c>
      <c r="AM34" s="36">
        <f>Pricer!AN49</f>
        <v>0</v>
      </c>
      <c r="AN34" s="36">
        <f>Pricer!AO49</f>
        <v>0</v>
      </c>
      <c r="AO34" s="36">
        <f ca="1">Pricer!AP49</f>
        <v>-6.5334363986721655E-2</v>
      </c>
      <c r="AP34" s="36">
        <f ca="1">Pricer!AQ49</f>
        <v>-6.5739405876684032E-2</v>
      </c>
      <c r="AQ34" s="36">
        <f ca="1">Pricer!AR49</f>
        <v>-6.5944959946364179E-2</v>
      </c>
      <c r="AR34" s="36">
        <f ca="1">Pricer!AS49</f>
        <v>-6.5940488596652358E-2</v>
      </c>
      <c r="AS34" s="36">
        <f ca="1">Pricer!AT49</f>
        <v>-6.5762266760884813E-2</v>
      </c>
      <c r="AT34" s="36">
        <f ca="1">Pricer!AU49</f>
        <v>-6.5473561917315237E-2</v>
      </c>
      <c r="AU34" s="36">
        <f>Pricer!AV49</f>
        <v>0</v>
      </c>
      <c r="AV34" s="36">
        <f>Pricer!AW49</f>
        <v>0</v>
      </c>
    </row>
    <row r="35" spans="1:48">
      <c r="A35" s="36">
        <f ca="1">Pricer!B50</f>
        <v>1.7841870430856943E-5</v>
      </c>
      <c r="B35" s="36">
        <f ca="1">Pricer!C50</f>
        <v>1.761599924066104E-5</v>
      </c>
      <c r="C35" s="36">
        <f ca="1">Pricer!D50</f>
        <v>1.7307957023149356E-5</v>
      </c>
      <c r="D35" s="36">
        <f ca="1">Pricer!E50</f>
        <v>1.6922233044169843E-5</v>
      </c>
      <c r="E35" s="36">
        <f ca="1">Pricer!F50</f>
        <v>1.652846549404785E-5</v>
      </c>
      <c r="F35" s="36">
        <f ca="1">Pricer!G50</f>
        <v>1.6143920220201835E-5</v>
      </c>
      <c r="G35" s="36">
        <f>Pricer!H50</f>
        <v>0</v>
      </c>
      <c r="H35" s="36">
        <f>Pricer!I50</f>
        <v>0</v>
      </c>
      <c r="I35" s="36">
        <f ca="1">Pricer!J50</f>
        <v>1.8199323676526546E-5</v>
      </c>
      <c r="J35" s="36">
        <f ca="1">Pricer!K50</f>
        <v>1.76153116626665E-5</v>
      </c>
      <c r="K35" s="36">
        <f ca="1">Pricer!L50</f>
        <v>1.698565756669268E-5</v>
      </c>
      <c r="L35" s="36">
        <f ca="1">Pricer!M50</f>
        <v>1.6318401321768761E-5</v>
      </c>
      <c r="M35" s="36">
        <f ca="1">Pricer!N50</f>
        <v>1.571332904859446E-5</v>
      </c>
      <c r="N35" s="36">
        <f ca="1">Pricer!O50</f>
        <v>1.516968768555671E-5</v>
      </c>
      <c r="O35" s="36">
        <f>Pricer!P50</f>
        <v>0</v>
      </c>
      <c r="P35" s="36">
        <f>Pricer!Q50</f>
        <v>0</v>
      </c>
      <c r="Q35" s="36">
        <f ca="1">Pricer!R50</f>
        <v>1.8046561308437958E-5</v>
      </c>
      <c r="R35" s="36">
        <f ca="1">Pricer!S50</f>
        <v>1.7411708540748805E-5</v>
      </c>
      <c r="S35" s="36">
        <f ca="1">Pricer!T50</f>
        <v>1.6738958947826177E-5</v>
      </c>
      <c r="T35" s="36">
        <f ca="1">Pricer!U50</f>
        <v>1.603643613634631E-5</v>
      </c>
      <c r="U35" s="36">
        <f ca="1">Pricer!V50</f>
        <v>1.540697121527046E-5</v>
      </c>
      <c r="V35" s="36">
        <f ca="1">Pricer!W50</f>
        <v>1.4846540580037981E-5</v>
      </c>
      <c r="W35" s="36">
        <f>Pricer!X50</f>
        <v>0</v>
      </c>
      <c r="X35" s="36">
        <f>Pricer!Y50</f>
        <v>0</v>
      </c>
      <c r="Y35" s="36">
        <f ca="1">Pricer!Z50</f>
        <v>7.1812746682553552E-6</v>
      </c>
      <c r="Z35" s="36">
        <f ca="1">Pricer!AA50</f>
        <v>6.8652725531137548E-6</v>
      </c>
      <c r="AA35" s="36">
        <f ca="1">Pricer!AB50</f>
        <v>6.5480680859764107E-6</v>
      </c>
      <c r="AB35" s="36">
        <f ca="1">Pricer!AC50</f>
        <v>6.232311534404289E-6</v>
      </c>
      <c r="AC35" s="36">
        <f ca="1">Pricer!AD50</f>
        <v>5.9603480622172356E-6</v>
      </c>
      <c r="AD35" s="36">
        <f ca="1">Pricer!AE50</f>
        <v>5.7255792853538878E-6</v>
      </c>
      <c r="AE35" s="36">
        <f>Pricer!AF50</f>
        <v>0</v>
      </c>
      <c r="AF35" s="36">
        <f>Pricer!AG50</f>
        <v>0</v>
      </c>
      <c r="AG35" s="36">
        <f ca="1">Pricer!AH50</f>
        <v>6.9203333623590879E-6</v>
      </c>
      <c r="AH35" s="36">
        <f ca="1">Pricer!AI50</f>
        <v>6.6216152845299803E-6</v>
      </c>
      <c r="AI35" s="36">
        <f ca="1">Pricer!AJ50</f>
        <v>6.3210345615516417E-6</v>
      </c>
      <c r="AJ35" s="36">
        <f ca="1">Pricer!AK50</f>
        <v>6.0211541494936682E-6</v>
      </c>
      <c r="AK35" s="36">
        <f ca="1">Pricer!AL50</f>
        <v>5.7623910834081471E-6</v>
      </c>
      <c r="AL35" s="36">
        <f ca="1">Pricer!AM50</f>
        <v>5.5386490203090943E-6</v>
      </c>
      <c r="AM35" s="36">
        <f>Pricer!AN50</f>
        <v>0</v>
      </c>
      <c r="AN35" s="36">
        <f>Pricer!AO50</f>
        <v>0</v>
      </c>
      <c r="AO35" s="36">
        <f ca="1">Pricer!AP50</f>
        <v>3.8862631299707573E-6</v>
      </c>
      <c r="AP35" s="36">
        <f ca="1">Pricer!AQ50</f>
        <v>3.780363840633072E-6</v>
      </c>
      <c r="AQ35" s="36">
        <f ca="1">Pricer!AR50</f>
        <v>3.6666342566604726E-6</v>
      </c>
      <c r="AR35" s="36">
        <f ca="1">Pricer!AS50</f>
        <v>3.5463772292132489E-6</v>
      </c>
      <c r="AS35" s="36">
        <f ca="1">Pricer!AT50</f>
        <v>3.4374443202978E-6</v>
      </c>
      <c r="AT35" s="36">
        <f ca="1">Pricer!AU50</f>
        <v>3.339534487167839E-6</v>
      </c>
      <c r="AU35" s="36">
        <f>Pricer!AV50</f>
        <v>0</v>
      </c>
      <c r="AV35" s="36">
        <f>Pricer!AW50</f>
        <v>0</v>
      </c>
    </row>
    <row r="36" spans="1:48">
      <c r="A36" s="36">
        <f ca="1">Pricer!B51</f>
        <v>6.8440011124530429</v>
      </c>
      <c r="B36" s="36">
        <f ca="1">Pricer!C51</f>
        <v>6.4851599293633626</v>
      </c>
      <c r="C36" s="36">
        <f ca="1">Pricer!D51</f>
        <v>6.1284502656217228</v>
      </c>
      <c r="D36" s="36">
        <f ca="1">Pricer!E51</f>
        <v>5.7769020244195417</v>
      </c>
      <c r="E36" s="36">
        <f ca="1">Pricer!F51</f>
        <v>5.4770102847924136</v>
      </c>
      <c r="F36" s="36">
        <f ca="1">Pricer!G51</f>
        <v>5.2202562431739352</v>
      </c>
      <c r="G36" s="36">
        <f>Pricer!H51</f>
        <v>0</v>
      </c>
      <c r="H36" s="36">
        <f>Pricer!I51</f>
        <v>0</v>
      </c>
      <c r="I36" s="36">
        <f ca="1">Pricer!J51</f>
        <v>4.5259760265016666</v>
      </c>
      <c r="J36" s="36">
        <f ca="1">Pricer!K51</f>
        <v>4.3038091196776804</v>
      </c>
      <c r="K36" s="36">
        <f ca="1">Pricer!L51</f>
        <v>4.0839583255256002</v>
      </c>
      <c r="L36" s="36">
        <f ca="1">Pricer!M51</f>
        <v>3.8678547156232526</v>
      </c>
      <c r="M36" s="36">
        <f ca="1">Pricer!N51</f>
        <v>3.6836534752292209</v>
      </c>
      <c r="N36" s="36">
        <f ca="1">Pricer!O51</f>
        <v>3.5258639891417261</v>
      </c>
      <c r="O36" s="36">
        <f>Pricer!P51</f>
        <v>0</v>
      </c>
      <c r="P36" s="36">
        <f>Pricer!Q51</f>
        <v>0</v>
      </c>
      <c r="Q36" s="36">
        <f ca="1">Pricer!R51</f>
        <v>4.098478915189844</v>
      </c>
      <c r="R36" s="36">
        <f ca="1">Pricer!S51</f>
        <v>3.9042813624837436</v>
      </c>
      <c r="S36" s="36">
        <f ca="1">Pricer!T51</f>
        <v>3.7118729307039757</v>
      </c>
      <c r="T36" s="36">
        <f ca="1">Pricer!U51</f>
        <v>3.5224337297750026</v>
      </c>
      <c r="U36" s="36">
        <f ca="1">Pricer!V51</f>
        <v>3.3606587033518736</v>
      </c>
      <c r="V36" s="36">
        <f ca="1">Pricer!W51</f>
        <v>3.2218212645620952</v>
      </c>
      <c r="W36" s="36">
        <f>Pricer!X51</f>
        <v>0</v>
      </c>
      <c r="X36" s="36">
        <f>Pricer!Y51</f>
        <v>0</v>
      </c>
      <c r="Y36" s="36">
        <f ca="1">Pricer!Z51</f>
        <v>-0.4546724017818633</v>
      </c>
      <c r="Z36" s="36">
        <f ca="1">Pricer!AA51</f>
        <v>-0.37304863142435352</v>
      </c>
      <c r="AA36" s="36">
        <f ca="1">Pricer!AB51</f>
        <v>-0.29480795481322275</v>
      </c>
      <c r="AB36" s="36">
        <f ca="1">Pricer!AC51</f>
        <v>-0.2207477349011242</v>
      </c>
      <c r="AC36" s="36">
        <f ca="1">Pricer!AD51</f>
        <v>-0.16014834812176559</v>
      </c>
      <c r="AD36" s="36">
        <f ca="1">Pricer!AE51</f>
        <v>-0.11028985614257181</v>
      </c>
      <c r="AE36" s="36">
        <f>Pricer!AF51</f>
        <v>0</v>
      </c>
      <c r="AF36" s="36">
        <f>Pricer!AG51</f>
        <v>0</v>
      </c>
      <c r="AG36" s="36">
        <f ca="1">Pricer!AH51</f>
        <v>-0.48361917985494074</v>
      </c>
      <c r="AH36" s="36">
        <f ca="1">Pricer!AI51</f>
        <v>-0.40248963291696782</v>
      </c>
      <c r="AI36" s="36">
        <f ca="1">Pricer!AJ51</f>
        <v>-0.32447623321968422</v>
      </c>
      <c r="AJ36" s="36">
        <f ca="1">Pricer!AK51</f>
        <v>-0.25039085461867217</v>
      </c>
      <c r="AK36" s="36">
        <f ca="1">Pricer!AL51</f>
        <v>-0.18958014206373264</v>
      </c>
      <c r="AL36" s="36">
        <f ca="1">Pricer!AM51</f>
        <v>-0.13940522865868843</v>
      </c>
      <c r="AM36" s="36">
        <f>Pricer!AN51</f>
        <v>0</v>
      </c>
      <c r="AN36" s="36">
        <f>Pricer!AO51</f>
        <v>0</v>
      </c>
      <c r="AO36" s="36">
        <f ca="1">Pricer!AP51</f>
        <v>-0.65413260503760284</v>
      </c>
      <c r="AP36" s="36">
        <f ca="1">Pricer!AQ51</f>
        <v>-0.59625140152479617</v>
      </c>
      <c r="AQ36" s="36">
        <f ca="1">Pricer!AR51</f>
        <v>-0.53760665627373783</v>
      </c>
      <c r="AR36" s="36">
        <f ca="1">Pricer!AS51</f>
        <v>-0.47900985940009377</v>
      </c>
      <c r="AS36" s="36">
        <f ca="1">Pricer!AT51</f>
        <v>-0.42862014165916662</v>
      </c>
      <c r="AT36" s="36">
        <f ca="1">Pricer!AU51</f>
        <v>-0.38534441166507349</v>
      </c>
      <c r="AU36" s="36">
        <f>Pricer!AV51</f>
        <v>0</v>
      </c>
      <c r="AV36" s="36">
        <f>Pricer!AW51</f>
        <v>0</v>
      </c>
    </row>
    <row r="37" spans="1:48">
      <c r="A37" s="36">
        <f ca="1">Pricer!B52</f>
        <v>522.75835478601584</v>
      </c>
      <c r="B37" s="36">
        <f ca="1">Pricer!C52</f>
        <v>549.06257555164666</v>
      </c>
      <c r="C37" s="36">
        <f ca="1">Pricer!D52</f>
        <v>574.59011081403878</v>
      </c>
      <c r="D37" s="36">
        <f ca="1">Pricer!E52</f>
        <v>598.86966752444278</v>
      </c>
      <c r="E37" s="36">
        <f ca="1">Pricer!F52</f>
        <v>618.65591700526056</v>
      </c>
      <c r="F37" s="36">
        <f ca="1">Pricer!G52</f>
        <v>634.7393956937758</v>
      </c>
      <c r="G37" s="36">
        <f>Pricer!H52</f>
        <v>0</v>
      </c>
      <c r="H37" s="36">
        <f>Pricer!I52</f>
        <v>0</v>
      </c>
      <c r="I37" s="36">
        <f ca="1">Pricer!J52</f>
        <v>552.60575255062031</v>
      </c>
      <c r="J37" s="36">
        <f ca="1">Pricer!K52</f>
        <v>569.74965895176865</v>
      </c>
      <c r="K37" s="36">
        <f ca="1">Pricer!L52</f>
        <v>585.89375590883719</v>
      </c>
      <c r="L37" s="36">
        <f ca="1">Pricer!M52</f>
        <v>600.73321054744702</v>
      </c>
      <c r="M37" s="36">
        <f ca="1">Pricer!N52</f>
        <v>612.38257957092355</v>
      </c>
      <c r="N37" s="36">
        <f ca="1">Pricer!O52</f>
        <v>621.48872389586722</v>
      </c>
      <c r="O37" s="36">
        <f>Pricer!P52</f>
        <v>0</v>
      </c>
      <c r="P37" s="36">
        <f>Pricer!Q52</f>
        <v>0</v>
      </c>
      <c r="Q37" s="36">
        <f ca="1">Pricer!R52</f>
        <v>553.11647894373527</v>
      </c>
      <c r="R37" s="36">
        <f ca="1">Pricer!S52</f>
        <v>568.57339717629475</v>
      </c>
      <c r="S37" s="36">
        <f ca="1">Pricer!T52</f>
        <v>583.04172881093291</v>
      </c>
      <c r="T37" s="36">
        <f ca="1">Pricer!U52</f>
        <v>596.24432943116517</v>
      </c>
      <c r="U37" s="36">
        <f ca="1">Pricer!V52</f>
        <v>606.52024420271482</v>
      </c>
      <c r="V37" s="36">
        <f ca="1">Pricer!W52</f>
        <v>614.47569178967024</v>
      </c>
      <c r="W37" s="36">
        <f>Pricer!X52</f>
        <v>0</v>
      </c>
      <c r="X37" s="36">
        <f>Pricer!Y52</f>
        <v>0</v>
      </c>
      <c r="Y37" s="36">
        <f ca="1">Pricer!Z52</f>
        <v>301.14946780321179</v>
      </c>
      <c r="Z37" s="36">
        <f ca="1">Pricer!AA52</f>
        <v>306.88243898880364</v>
      </c>
      <c r="AA37" s="36">
        <f ca="1">Pricer!AB52</f>
        <v>312.33356247542133</v>
      </c>
      <c r="AB37" s="36">
        <f ca="1">Pricer!AC52</f>
        <v>317.40907305210794</v>
      </c>
      <c r="AC37" s="36">
        <f ca="1">Pricer!AD52</f>
        <v>321.45654511357088</v>
      </c>
      <c r="AD37" s="36">
        <f ca="1">Pricer!AE52</f>
        <v>324.67649131038661</v>
      </c>
      <c r="AE37" s="36">
        <f>Pricer!AF52</f>
        <v>0</v>
      </c>
      <c r="AF37" s="36">
        <f>Pricer!AG52</f>
        <v>0</v>
      </c>
      <c r="AG37" s="36">
        <f ca="1">Pricer!AH52</f>
        <v>292.92432618680459</v>
      </c>
      <c r="AH37" s="36">
        <f ca="1">Pricer!AI52</f>
        <v>298.74855025218176</v>
      </c>
      <c r="AI37" s="36">
        <f ca="1">Pricer!AJ52</f>
        <v>304.30030737436891</v>
      </c>
      <c r="AJ37" s="36">
        <f ca="1">Pricer!AK52</f>
        <v>309.48610718671944</v>
      </c>
      <c r="AK37" s="36">
        <f ca="1">Pricer!AL52</f>
        <v>313.63762109880417</v>
      </c>
      <c r="AL37" s="36">
        <f ca="1">Pricer!AM52</f>
        <v>316.95487376241817</v>
      </c>
      <c r="AM37" s="36">
        <f>Pricer!AN52</f>
        <v>0</v>
      </c>
      <c r="AN37" s="36">
        <f>Pricer!AO52</f>
        <v>0</v>
      </c>
      <c r="AO37" s="36">
        <f ca="1">Pricer!AP52</f>
        <v>187.61833718739513</v>
      </c>
      <c r="AP37" s="36">
        <f ca="1">Pricer!AQ52</f>
        <v>194.38767974816869</v>
      </c>
      <c r="AQ37" s="36">
        <f ca="1">Pricer!AR52</f>
        <v>201.03091222095736</v>
      </c>
      <c r="AR37" s="36">
        <f ca="1">Pricer!AS52</f>
        <v>207.45551416221838</v>
      </c>
      <c r="AS37" s="36">
        <f ca="1">Pricer!AT52</f>
        <v>212.80496892253041</v>
      </c>
      <c r="AT37" s="36">
        <f ca="1">Pricer!AU52</f>
        <v>217.26134688154252</v>
      </c>
      <c r="AU37" s="36">
        <f>Pricer!AV52</f>
        <v>0</v>
      </c>
      <c r="AV37" s="36">
        <f>Pricer!AW52</f>
        <v>0</v>
      </c>
    </row>
    <row r="38" spans="1:48">
      <c r="A38" s="36">
        <f ca="1">Pricer!B53</f>
        <v>-2059.5026525844241</v>
      </c>
      <c r="B38" s="36">
        <f ca="1">Pricer!C53</f>
        <v>-2096.9913904731238</v>
      </c>
      <c r="C38" s="36">
        <f ca="1">Pricer!D53</f>
        <v>-2130.0623848193663</v>
      </c>
      <c r="D38" s="36">
        <f ca="1">Pricer!E53</f>
        <v>-2157.7932271464088</v>
      </c>
      <c r="E38" s="36">
        <f ca="1">Pricer!F53</f>
        <v>-2176.9755304178416</v>
      </c>
      <c r="F38" s="36">
        <f ca="1">Pricer!G53</f>
        <v>-2189.6296040185134</v>
      </c>
      <c r="G38" s="36">
        <f>Pricer!H53</f>
        <v>0</v>
      </c>
      <c r="H38" s="36">
        <f>Pricer!I53</f>
        <v>0</v>
      </c>
      <c r="I38" s="36">
        <f ca="1">Pricer!J53</f>
        <v>-1627.1953610291966</v>
      </c>
      <c r="J38" s="36">
        <f ca="1">Pricer!K53</f>
        <v>-1654.0493060878853</v>
      </c>
      <c r="K38" s="36">
        <f ca="1">Pricer!L53</f>
        <v>-1677.8964162597686</v>
      </c>
      <c r="L38" s="36">
        <f ca="1">Pricer!M53</f>
        <v>-1698.0880213291648</v>
      </c>
      <c r="M38" s="36">
        <f ca="1">Pricer!N53</f>
        <v>-1712.2531465434986</v>
      </c>
      <c r="N38" s="36">
        <f ca="1">Pricer!O53</f>
        <v>-1721.790856959853</v>
      </c>
      <c r="O38" s="36">
        <f>Pricer!P53</f>
        <v>0</v>
      </c>
      <c r="P38" s="36">
        <f>Pricer!Q53</f>
        <v>0</v>
      </c>
      <c r="Q38" s="36">
        <f ca="1">Pricer!R53</f>
        <v>-1543.1524967998375</v>
      </c>
      <c r="R38" s="36">
        <f ca="1">Pricer!S53</f>
        <v>-1568.6707993840209</v>
      </c>
      <c r="S38" s="36">
        <f ca="1">Pricer!T53</f>
        <v>-1591.453020212648</v>
      </c>
      <c r="T38" s="36">
        <f ca="1">Pricer!U53</f>
        <v>-1610.889818965371</v>
      </c>
      <c r="U38" s="36">
        <f ca="1">Pricer!V53</f>
        <v>-1624.6742275341376</v>
      </c>
      <c r="V38" s="36">
        <f ca="1">Pricer!W53</f>
        <v>-1634.1019797311546</v>
      </c>
      <c r="W38" s="36">
        <f>Pricer!X53</f>
        <v>0</v>
      </c>
      <c r="X38" s="36">
        <f>Pricer!Y53</f>
        <v>0</v>
      </c>
      <c r="Y38" s="36">
        <f ca="1">Pricer!Z53</f>
        <v>-383.93439974330136</v>
      </c>
      <c r="Z38" s="36">
        <f ca="1">Pricer!AA53</f>
        <v>-403.21467590728821</v>
      </c>
      <c r="AA38" s="36">
        <f ca="1">Pricer!AB53</f>
        <v>-422.85961904492842</v>
      </c>
      <c r="AB38" s="36">
        <f ca="1">Pricer!AC53</f>
        <v>-442.62261042068417</v>
      </c>
      <c r="AC38" s="36">
        <f ca="1">Pricer!AD53</f>
        <v>-459.73008281391662</v>
      </c>
      <c r="AD38" s="36">
        <f ca="1">Pricer!AE53</f>
        <v>-474.49987970652046</v>
      </c>
      <c r="AE38" s="36">
        <f>Pricer!AF53</f>
        <v>0</v>
      </c>
      <c r="AF38" s="36">
        <f>Pricer!AG53</f>
        <v>0</v>
      </c>
      <c r="AG38" s="36">
        <f ca="1">Pricer!AH53</f>
        <v>-368.30682212734519</v>
      </c>
      <c r="AH38" s="36">
        <f ca="1">Pricer!AI53</f>
        <v>-387.38578369341531</v>
      </c>
      <c r="AI38" s="36">
        <f ca="1">Pricer!AJ53</f>
        <v>-406.8639279250533</v>
      </c>
      <c r="AJ38" s="36">
        <f ca="1">Pricer!AK53</f>
        <v>-426.50081882169525</v>
      </c>
      <c r="AK38" s="36">
        <f ca="1">Pricer!AL53</f>
        <v>-443.5357786718796</v>
      </c>
      <c r="AL38" s="36">
        <f ca="1">Pricer!AM53</f>
        <v>-458.27296686915588</v>
      </c>
      <c r="AM38" s="36">
        <f>Pricer!AN53</f>
        <v>0</v>
      </c>
      <c r="AN38" s="36">
        <f>Pricer!AO53</f>
        <v>0</v>
      </c>
      <c r="AO38" s="36">
        <f ca="1">Pricer!AP53</f>
        <v>-197.39256777465334</v>
      </c>
      <c r="AP38" s="36">
        <f ca="1">Pricer!AQ53</f>
        <v>-212.69527740579701</v>
      </c>
      <c r="AQ38" s="36">
        <f ca="1">Pricer!AR53</f>
        <v>-228.74110153414097</v>
      </c>
      <c r="AR38" s="36">
        <f ca="1">Pricer!AS53</f>
        <v>-245.37544907612232</v>
      </c>
      <c r="AS38" s="36">
        <f ca="1">Pricer!AT53</f>
        <v>-260.20563323070769</v>
      </c>
      <c r="AT38" s="36">
        <f ca="1">Pricer!AU53</f>
        <v>-273.36093419050894</v>
      </c>
      <c r="AU38" s="36">
        <f>Pricer!AV53</f>
        <v>0</v>
      </c>
      <c r="AV38" s="36">
        <f>Pricer!AW53</f>
        <v>0</v>
      </c>
    </row>
    <row r="39" spans="1:48">
      <c r="A39">
        <f>Pricer!B54</f>
        <v>0</v>
      </c>
      <c r="B39">
        <f>Pricer!C54</f>
        <v>0</v>
      </c>
      <c r="C39">
        <f>Pricer!D54</f>
        <v>0</v>
      </c>
      <c r="D39">
        <f>Pricer!E54</f>
        <v>0</v>
      </c>
      <c r="E39">
        <f>Pricer!F54</f>
        <v>0</v>
      </c>
      <c r="F39">
        <f>Pricer!G54</f>
        <v>0</v>
      </c>
      <c r="G39">
        <f>Pricer!H54</f>
        <v>0</v>
      </c>
      <c r="H39">
        <f>Pricer!I54</f>
        <v>0</v>
      </c>
      <c r="I39">
        <f>Pricer!J54</f>
        <v>0</v>
      </c>
      <c r="J39">
        <f>Pricer!K54</f>
        <v>0</v>
      </c>
      <c r="K39">
        <f>Pricer!L54</f>
        <v>0</v>
      </c>
      <c r="L39">
        <f>Pricer!M54</f>
        <v>0</v>
      </c>
      <c r="M39">
        <f>Pricer!N54</f>
        <v>0</v>
      </c>
      <c r="N39">
        <f>Pricer!O54</f>
        <v>0</v>
      </c>
      <c r="O39">
        <f>Pricer!P54</f>
        <v>0</v>
      </c>
      <c r="P39">
        <f>Pricer!Q54</f>
        <v>0</v>
      </c>
      <c r="Q39">
        <f>Pricer!R54</f>
        <v>0</v>
      </c>
      <c r="R39">
        <f>Pricer!S54</f>
        <v>0</v>
      </c>
      <c r="S39">
        <f>Pricer!T54</f>
        <v>0</v>
      </c>
      <c r="T39">
        <f>Pricer!U54</f>
        <v>0</v>
      </c>
      <c r="U39">
        <f>Pricer!V54</f>
        <v>0</v>
      </c>
      <c r="V39">
        <f>Pricer!W54</f>
        <v>0</v>
      </c>
      <c r="W39">
        <f>Pricer!X54</f>
        <v>0</v>
      </c>
      <c r="X39">
        <f>Pricer!Y54</f>
        <v>0</v>
      </c>
      <c r="Y39">
        <f>Pricer!Z54</f>
        <v>0</v>
      </c>
      <c r="Z39">
        <f>Pricer!AA54</f>
        <v>0</v>
      </c>
      <c r="AA39">
        <f>Pricer!AB54</f>
        <v>0</v>
      </c>
      <c r="AB39">
        <f>Pricer!AC54</f>
        <v>0</v>
      </c>
      <c r="AC39">
        <f>Pricer!AD54</f>
        <v>0</v>
      </c>
      <c r="AD39">
        <f>Pricer!AE54</f>
        <v>0</v>
      </c>
      <c r="AE39">
        <f>Pricer!AF54</f>
        <v>0</v>
      </c>
      <c r="AF39">
        <f>Pricer!AG54</f>
        <v>0</v>
      </c>
      <c r="AG39">
        <f>Pricer!AH54</f>
        <v>0</v>
      </c>
      <c r="AH39">
        <f>Pricer!AI54</f>
        <v>0</v>
      </c>
      <c r="AI39">
        <f>Pricer!AJ54</f>
        <v>0</v>
      </c>
      <c r="AJ39">
        <f>Pricer!AK54</f>
        <v>0</v>
      </c>
      <c r="AK39">
        <f>Pricer!AL54</f>
        <v>0</v>
      </c>
      <c r="AL39">
        <f>Pricer!AM54</f>
        <v>0</v>
      </c>
      <c r="AM39">
        <f>Pricer!AN54</f>
        <v>0</v>
      </c>
      <c r="AN39">
        <f>Pricer!AO54</f>
        <v>0</v>
      </c>
      <c r="AO39">
        <f>Pricer!AP54</f>
        <v>0</v>
      </c>
      <c r="AP39">
        <f>Pricer!AQ54</f>
        <v>0</v>
      </c>
      <c r="AQ39">
        <f>Pricer!AR54</f>
        <v>0</v>
      </c>
      <c r="AR39">
        <f>Pricer!AS54</f>
        <v>0</v>
      </c>
      <c r="AS39">
        <f>Pricer!AT54</f>
        <v>0</v>
      </c>
      <c r="AT39">
        <f>Pricer!AU54</f>
        <v>0</v>
      </c>
      <c r="AU39">
        <f>Pricer!AV54</f>
        <v>0</v>
      </c>
      <c r="AV39">
        <f>Pricer!AW54</f>
        <v>0</v>
      </c>
    </row>
    <row r="40" spans="1:48">
      <c r="A40">
        <f>Pricer!B55</f>
        <v>-10834.411384217334</v>
      </c>
      <c r="B40">
        <f>Pricer!C55</f>
        <v>-10834.411384217334</v>
      </c>
      <c r="C40">
        <f>Pricer!D55</f>
        <v>-10834.411384217334</v>
      </c>
      <c r="D40">
        <f>Pricer!E55</f>
        <v>-10834.411384217334</v>
      </c>
      <c r="E40">
        <f>Pricer!F55</f>
        <v>-10834.411384217334</v>
      </c>
      <c r="F40">
        <f>Pricer!G55</f>
        <v>-10834.411384217334</v>
      </c>
      <c r="G40">
        <f>Pricer!H55</f>
        <v>0</v>
      </c>
      <c r="H40">
        <f>Pricer!I55</f>
        <v>0</v>
      </c>
      <c r="I40">
        <f>Pricer!J55</f>
        <v>9756.3605002156091</v>
      </c>
      <c r="J40">
        <f>Pricer!K55</f>
        <v>9756.3605002156091</v>
      </c>
      <c r="K40">
        <f>Pricer!L55</f>
        <v>9756.3605002156091</v>
      </c>
      <c r="L40">
        <f>Pricer!M55</f>
        <v>9756.3605002156091</v>
      </c>
      <c r="M40">
        <f>Pricer!N55</f>
        <v>9756.3605002156091</v>
      </c>
      <c r="N40">
        <f>Pricer!O55</f>
        <v>9756.3605002156091</v>
      </c>
      <c r="O40">
        <f>Pricer!P55</f>
        <v>0</v>
      </c>
      <c r="P40">
        <f>Pricer!Q55</f>
        <v>0</v>
      </c>
      <c r="Q40">
        <f>Pricer!R55</f>
        <v>1078.0508840017258</v>
      </c>
      <c r="R40">
        <f>Pricer!S55</f>
        <v>1078.0508840017258</v>
      </c>
      <c r="S40">
        <f>Pricer!T55</f>
        <v>1078.0508840017258</v>
      </c>
      <c r="T40">
        <f>Pricer!U55</f>
        <v>1078.0508840017258</v>
      </c>
      <c r="U40">
        <f>Pricer!V55</f>
        <v>1078.0508840017258</v>
      </c>
      <c r="V40">
        <f>Pricer!W55</f>
        <v>1078.0508840017258</v>
      </c>
      <c r="W40">
        <f>Pricer!X55</f>
        <v>0</v>
      </c>
      <c r="X40">
        <f>Pricer!Y55</f>
        <v>0</v>
      </c>
      <c r="Y40">
        <f>Pricer!Z55</f>
        <v>-27598.102630444158</v>
      </c>
      <c r="Z40">
        <f>Pricer!AA55</f>
        <v>-27598.102630444158</v>
      </c>
      <c r="AA40">
        <f>Pricer!AB55</f>
        <v>-27598.102630444158</v>
      </c>
      <c r="AB40">
        <f>Pricer!AC55</f>
        <v>-27598.102630444158</v>
      </c>
      <c r="AC40">
        <f>Pricer!AD55</f>
        <v>-27598.102630444158</v>
      </c>
      <c r="AD40">
        <f>Pricer!AE55</f>
        <v>-27598.102630444158</v>
      </c>
      <c r="AE40">
        <f>Pricer!AF55</f>
        <v>0</v>
      </c>
      <c r="AF40">
        <f>Pricer!AG55</f>
        <v>0</v>
      </c>
      <c r="AG40">
        <f>Pricer!AH55</f>
        <v>25873.221216041395</v>
      </c>
      <c r="AH40">
        <f>Pricer!AI55</f>
        <v>25873.221216041395</v>
      </c>
      <c r="AI40">
        <f>Pricer!AJ55</f>
        <v>25873.221216041395</v>
      </c>
      <c r="AJ40">
        <f>Pricer!AK55</f>
        <v>25873.221216041395</v>
      </c>
      <c r="AK40">
        <f>Pricer!AL55</f>
        <v>25873.221216041395</v>
      </c>
      <c r="AL40">
        <f>Pricer!AM55</f>
        <v>25873.221216041395</v>
      </c>
      <c r="AM40">
        <f>Pricer!AN55</f>
        <v>0</v>
      </c>
      <c r="AN40">
        <f>Pricer!AO55</f>
        <v>0</v>
      </c>
      <c r="AO40">
        <f>Pricer!AP55</f>
        <v>1078.0508840017249</v>
      </c>
      <c r="AP40">
        <f>Pricer!AQ55</f>
        <v>1078.0508840017249</v>
      </c>
      <c r="AQ40">
        <f>Pricer!AR55</f>
        <v>1078.0508840017249</v>
      </c>
      <c r="AR40">
        <f>Pricer!AS55</f>
        <v>1078.0508840017249</v>
      </c>
      <c r="AS40">
        <f>Pricer!AT55</f>
        <v>1078.0508840017249</v>
      </c>
      <c r="AT40">
        <f>Pricer!AU55</f>
        <v>1078.0508840017249</v>
      </c>
      <c r="AU40">
        <f>Pricer!AV55</f>
        <v>0</v>
      </c>
      <c r="AV40">
        <f>Pricer!AW55</f>
        <v>0</v>
      </c>
    </row>
    <row r="41" spans="1:48">
      <c r="A41" s="2">
        <f ca="1">Pricer!B56</f>
        <v>155934649.78160354</v>
      </c>
      <c r="B41" s="2">
        <f ca="1">Pricer!C56</f>
        <v>149873521.21753594</v>
      </c>
      <c r="C41" s="2">
        <f ca="1">Pricer!D56</f>
        <v>143659939.74569115</v>
      </c>
      <c r="D41" s="2">
        <f ca="1">Pricer!E56</f>
        <v>137344252.51520786</v>
      </c>
      <c r="E41" s="2">
        <f ca="1">Pricer!F56</f>
        <v>131800049.29951458</v>
      </c>
      <c r="F41" s="2">
        <f ca="1">Pricer!G56</f>
        <v>126935077.16843563</v>
      </c>
      <c r="G41" s="2">
        <f>Pricer!H56</f>
        <v>0</v>
      </c>
      <c r="H41" s="2">
        <f>Pricer!I56</f>
        <v>0</v>
      </c>
      <c r="I41" s="2">
        <f ca="1">Pricer!J56</f>
        <v>-102642265.85912149</v>
      </c>
      <c r="J41" s="2">
        <f ca="1">Pricer!K56</f>
        <v>-99026558.913359702</v>
      </c>
      <c r="K41" s="2">
        <f ca="1">Pricer!L56</f>
        <v>-95305661.273255244</v>
      </c>
      <c r="L41" s="2">
        <f ca="1">Pricer!M56</f>
        <v>-91506834.601074353</v>
      </c>
      <c r="M41" s="2">
        <f ca="1">Pricer!N56</f>
        <v>-88156596.990937844</v>
      </c>
      <c r="N41" s="2">
        <f ca="1">Pricer!O56</f>
        <v>-85203894.695452124</v>
      </c>
      <c r="O41" s="2">
        <f>Pricer!P56</f>
        <v>0</v>
      </c>
      <c r="P41" s="2">
        <f>Pricer!Q56</f>
        <v>0</v>
      </c>
      <c r="Q41" s="2">
        <f ca="1">Pricer!R56</f>
        <v>-10608069.777740322</v>
      </c>
      <c r="R41" s="2">
        <f ca="1">Pricer!S56</f>
        <v>-10245954.752236512</v>
      </c>
      <c r="S41" s="2">
        <f ca="1">Pricer!T56</f>
        <v>-9872617.0030641481</v>
      </c>
      <c r="T41" s="2">
        <f ca="1">Pricer!U56</f>
        <v>-9490720.1397450157</v>
      </c>
      <c r="U41" s="2">
        <f ca="1">Pricer!V56</f>
        <v>-9153285.6108322293</v>
      </c>
      <c r="V41" s="2">
        <f ca="1">Pricer!W56</f>
        <v>-8855389.1452305708</v>
      </c>
      <c r="W41" s="2">
        <f>Pricer!X56</f>
        <v>0</v>
      </c>
      <c r="X41" s="2">
        <f>Pricer!Y56</f>
        <v>0</v>
      </c>
      <c r="Y41" s="2">
        <f ca="1">Pricer!Z56</f>
        <v>59759842.839942329</v>
      </c>
      <c r="Z41" s="2">
        <f ca="1">Pricer!AA56</f>
        <v>60716267.973733686</v>
      </c>
      <c r="AA41" s="2">
        <f ca="1">Pricer!AB56</f>
        <v>61551765.432005309</v>
      </c>
      <c r="AB41" s="2">
        <f ca="1">Pricer!AC56</f>
        <v>62245724.302929461</v>
      </c>
      <c r="AC41" s="2">
        <f ca="1">Pricer!AD56</f>
        <v>62721656.906126812</v>
      </c>
      <c r="AD41" s="2">
        <f ca="1">Pricer!AE56</f>
        <v>63033384.868080385</v>
      </c>
      <c r="AE41" s="2">
        <f>Pricer!AF56</f>
        <v>0</v>
      </c>
      <c r="AF41" s="2">
        <f>Pricer!AG56</f>
        <v>0</v>
      </c>
      <c r="AG41" s="2">
        <f ca="1">Pricer!AH56</f>
        <v>-53727455.576752394</v>
      </c>
      <c r="AH41" s="2">
        <f ca="1">Pricer!AI56</f>
        <v>-54687615.726731934</v>
      </c>
      <c r="AI41" s="2">
        <f ca="1">Pricer!AJ56</f>
        <v>-55540537.491608158</v>
      </c>
      <c r="AJ41" s="2">
        <f ca="1">Pricer!AK56</f>
        <v>-56266368.822242238</v>
      </c>
      <c r="AK41" s="2">
        <f ca="1">Pricer!AL56</f>
        <v>-56782128.261948764</v>
      </c>
      <c r="AL41" s="2">
        <f ca="1">Pricer!AM56</f>
        <v>-57138009.213586591</v>
      </c>
      <c r="AM41" s="2">
        <f>Pricer!AN56</f>
        <v>0</v>
      </c>
      <c r="AN41" s="2">
        <f>Pricer!AO56</f>
        <v>0</v>
      </c>
      <c r="AO41" s="2">
        <f ca="1">Pricer!AP56</f>
        <v>-1201736.2430621374</v>
      </c>
      <c r="AP41" s="2">
        <f ca="1">Pricer!AQ56</f>
        <v>-1258292.6647498407</v>
      </c>
      <c r="AQ41" s="2">
        <f ca="1">Pricer!AR56</f>
        <v>-1313844.2258965527</v>
      </c>
      <c r="AR41" s="2">
        <f ca="1">Pricer!AS56</f>
        <v>-1367474.2413258024</v>
      </c>
      <c r="AS41" s="2">
        <f ca="1">Pricer!AT56</f>
        <v>-1411936.8119386476</v>
      </c>
      <c r="AT41" s="2">
        <f ca="1">Pricer!AU56</f>
        <v>-1448745.5586858583</v>
      </c>
      <c r="AU41" s="2">
        <f>Pricer!AV56</f>
        <v>0</v>
      </c>
      <c r="AV41" s="2">
        <f>Pricer!AW56</f>
        <v>0</v>
      </c>
    </row>
    <row r="42" spans="1:48">
      <c r="A42" s="2">
        <f ca="1">Pricer!B57</f>
        <v>513901073.33418775</v>
      </c>
      <c r="B42" s="2">
        <f ca="1">Pricer!C57</f>
        <v>492665063.60332394</v>
      </c>
      <c r="C42" s="2">
        <f ca="1">Pricer!D57</f>
        <v>470811999.89199364</v>
      </c>
      <c r="D42" s="2">
        <f ca="1">Pricer!E57</f>
        <v>448551857.56979764</v>
      </c>
      <c r="E42" s="2">
        <f ca="1">Pricer!F57</f>
        <v>428998792.48158348</v>
      </c>
      <c r="F42" s="2">
        <f ca="1">Pricer!G57</f>
        <v>411849898.63809514</v>
      </c>
      <c r="G42" s="2">
        <f>Pricer!H57</f>
        <v>0</v>
      </c>
      <c r="H42" s="2">
        <f>Pricer!I57</f>
        <v>0</v>
      </c>
      <c r="I42" s="2">
        <f ca="1">Pricer!J57</f>
        <v>-377891815.34202731</v>
      </c>
      <c r="J42" s="2">
        <f ca="1">Pricer!K57</f>
        <v>-361169457.63543808</v>
      </c>
      <c r="K42" s="2">
        <f ca="1">Pricer!L57</f>
        <v>-344204149.85058826</v>
      </c>
      <c r="L42" s="2">
        <f ca="1">Pricer!M57</f>
        <v>-327146218.32219821</v>
      </c>
      <c r="M42" s="2">
        <f ca="1">Pricer!N57</f>
        <v>-312327498.68732691</v>
      </c>
      <c r="N42" s="2">
        <f ca="1">Pricer!O57</f>
        <v>-299444251.10226887</v>
      </c>
      <c r="O42" s="2">
        <f>Pricer!P57</f>
        <v>0</v>
      </c>
      <c r="P42" s="2">
        <f>Pricer!Q57</f>
        <v>0</v>
      </c>
      <c r="Q42" s="2">
        <f ca="1">Pricer!R57</f>
        <v>-39830156.585568443</v>
      </c>
      <c r="R42" s="2">
        <f ca="1">Pricer!S57</f>
        <v>-38058476.556159548</v>
      </c>
      <c r="S42" s="2">
        <f ca="1">Pricer!T57</f>
        <v>-36264446.085620642</v>
      </c>
      <c r="T42" s="2">
        <f ca="1">Pricer!U57</f>
        <v>-34463649.984882295</v>
      </c>
      <c r="U42" s="2">
        <f ca="1">Pricer!V57</f>
        <v>-32901411.247537836</v>
      </c>
      <c r="V42" s="2">
        <f ca="1">Pricer!W57</f>
        <v>-31544656.968074996</v>
      </c>
      <c r="W42" s="2">
        <f>Pricer!X57</f>
        <v>0</v>
      </c>
      <c r="X42" s="2">
        <f>Pricer!Y57</f>
        <v>0</v>
      </c>
      <c r="Y42" s="2">
        <f ca="1">Pricer!Z57</f>
        <v>268497361.51701564</v>
      </c>
      <c r="Z42" s="2">
        <f ca="1">Pricer!AA57</f>
        <v>263724081.26195121</v>
      </c>
      <c r="AA42" s="2">
        <f ca="1">Pricer!AB57</f>
        <v>258402918.74344766</v>
      </c>
      <c r="AB42" s="2">
        <f ca="1">Pricer!AC57</f>
        <v>252568449.85054648</v>
      </c>
      <c r="AC42" s="2">
        <f ca="1">Pricer!AD57</f>
        <v>247105322.27957356</v>
      </c>
      <c r="AD42" s="2">
        <f ca="1">Pricer!AE57</f>
        <v>242056209.96294743</v>
      </c>
      <c r="AE42" s="2">
        <f>Pricer!AF57</f>
        <v>0</v>
      </c>
      <c r="AF42" s="2">
        <f>Pricer!AG57</f>
        <v>0</v>
      </c>
      <c r="AG42" s="2">
        <f ca="1">Pricer!AH57</f>
        <v>-241560282.73739919</v>
      </c>
      <c r="AH42" s="2">
        <f ca="1">Pricer!AI57</f>
        <v>-237597799.76063493</v>
      </c>
      <c r="AI42" s="2">
        <f ca="1">Pricer!AJ57</f>
        <v>-233123058.76817486</v>
      </c>
      <c r="AJ42" s="2">
        <f ca="1">Pricer!AK57</f>
        <v>-228163951.56849432</v>
      </c>
      <c r="AK42" s="2">
        <f ca="1">Pricer!AL57</f>
        <v>-223481253.28635612</v>
      </c>
      <c r="AL42" s="2">
        <f ca="1">Pricer!AM57</f>
        <v>-219125925.3993527</v>
      </c>
      <c r="AM42" s="2">
        <f>Pricer!AN57</f>
        <v>0</v>
      </c>
      <c r="AN42" s="2">
        <f>Pricer!AO57</f>
        <v>0</v>
      </c>
      <c r="AO42" s="2">
        <f ca="1">Pricer!AP57</f>
        <v>-5409243.0140321646</v>
      </c>
      <c r="AP42" s="2">
        <f ca="1">Pricer!AQ57</f>
        <v>-5442777.7403228302</v>
      </c>
      <c r="AQ42" s="2">
        <f ca="1">Pricer!AR57</f>
        <v>-5459796.2256584978</v>
      </c>
      <c r="AR42" s="2">
        <f ca="1">Pricer!AS57</f>
        <v>-5459426.0281741098</v>
      </c>
      <c r="AS42" s="2">
        <f ca="1">Pricer!AT57</f>
        <v>-5444670.4667628212</v>
      </c>
      <c r="AT42" s="2">
        <f ca="1">Pricer!AU57</f>
        <v>-5420767.6602931144</v>
      </c>
      <c r="AU42" s="2">
        <f>Pricer!AV57</f>
        <v>0</v>
      </c>
      <c r="AV42" s="2">
        <f>Pricer!AW57</f>
        <v>0</v>
      </c>
    </row>
    <row r="43" spans="1:48">
      <c r="A43" s="36">
        <f ca="1">Pricer!B58</f>
        <v>6691.5073547075835</v>
      </c>
      <c r="B43" s="36">
        <f ca="1">Pricer!C58</f>
        <v>6414.9932108923813</v>
      </c>
      <c r="C43" s="36">
        <f ca="1">Pricer!D58</f>
        <v>6130.4444054218629</v>
      </c>
      <c r="D43" s="36">
        <f ca="1">Pricer!E58</f>
        <v>5840.5950281878359</v>
      </c>
      <c r="E43" s="36">
        <f ca="1">Pricer!F58</f>
        <v>5585.9945114074853</v>
      </c>
      <c r="F43" s="36">
        <f ca="1">Pricer!G58</f>
        <v>5362.698715323053</v>
      </c>
      <c r="G43" s="36">
        <f>Pricer!H58</f>
        <v>0</v>
      </c>
      <c r="H43" s="36">
        <f>Pricer!I58</f>
        <v>0</v>
      </c>
      <c r="I43" s="36">
        <f ca="1">Pricer!J58</f>
        <v>-4920.5304150057591</v>
      </c>
      <c r="J43" s="36">
        <f ca="1">Pricer!K58</f>
        <v>-4702.7885471873078</v>
      </c>
      <c r="K43" s="36">
        <f ca="1">Pricer!L58</f>
        <v>-4481.8832257007034</v>
      </c>
      <c r="L43" s="36">
        <f ca="1">Pricer!M58</f>
        <v>-4259.7718501829222</v>
      </c>
      <c r="M43" s="36">
        <f ca="1">Pricer!N58</f>
        <v>-4066.8172591742982</v>
      </c>
      <c r="N43" s="36">
        <f ca="1">Pricer!O58</f>
        <v>-3899.0644552958879</v>
      </c>
      <c r="O43" s="36">
        <f>Pricer!P58</f>
        <v>0</v>
      </c>
      <c r="P43" s="36">
        <f>Pricer!Q58</f>
        <v>0</v>
      </c>
      <c r="Q43" s="36">
        <f ca="1">Pricer!R58</f>
        <v>-518.62858351760372</v>
      </c>
      <c r="R43" s="36">
        <f ca="1">Pricer!S58</f>
        <v>-495.55953275641025</v>
      </c>
      <c r="S43" s="36">
        <f ca="1">Pricer!T58</f>
        <v>-472.19945683694635</v>
      </c>
      <c r="T43" s="36">
        <f ca="1">Pricer!U58</f>
        <v>-448.75128562718641</v>
      </c>
      <c r="U43" s="36">
        <f ca="1">Pricer!V58</f>
        <v>-428.409370532661</v>
      </c>
      <c r="V43" s="36">
        <f ca="1">Pricer!W58</f>
        <v>-410.74306915552285</v>
      </c>
      <c r="W43" s="36">
        <f>Pricer!X58</f>
        <v>0</v>
      </c>
      <c r="X43" s="36">
        <f>Pricer!Y58</f>
        <v>0</v>
      </c>
      <c r="Y43" s="36">
        <f ca="1">Pricer!Z58</f>
        <v>3496.1049169522471</v>
      </c>
      <c r="Z43" s="36">
        <f ca="1">Pricer!AA58</f>
        <v>3433.9520210152637</v>
      </c>
      <c r="AA43" s="36">
        <f ca="1">Pricer!AB58</f>
        <v>3364.6651485494294</v>
      </c>
      <c r="AB43" s="36">
        <f ca="1">Pricer!AC58</f>
        <v>3288.6945123054529</v>
      </c>
      <c r="AC43" s="36">
        <f ca="1">Pricer!AD58</f>
        <v>3217.5591124828911</v>
      </c>
      <c r="AD43" s="36">
        <f ca="1">Pricer!AE58</f>
        <v>3151.8146064785665</v>
      </c>
      <c r="AE43" s="36">
        <f>Pricer!AF58</f>
        <v>0</v>
      </c>
      <c r="AF43" s="36">
        <f>Pricer!AG58</f>
        <v>0</v>
      </c>
      <c r="AG43" s="36">
        <f ca="1">Pricer!AH58</f>
        <v>-3145.3571366476021</v>
      </c>
      <c r="AH43" s="36">
        <f ca="1">Pricer!AI58</f>
        <v>-3093.7616344045491</v>
      </c>
      <c r="AI43" s="36">
        <f ca="1">Pricer!AJ58</f>
        <v>-3035.4960190650254</v>
      </c>
      <c r="AJ43" s="36">
        <f ca="1">Pricer!AK58</f>
        <v>-2970.9234699474514</v>
      </c>
      <c r="AK43" s="36">
        <f ca="1">Pricer!AL58</f>
        <v>-2909.9500421406024</v>
      </c>
      <c r="AL43" s="36">
        <f ca="1">Pricer!AM58</f>
        <v>-2853.2393051908584</v>
      </c>
      <c r="AM43" s="36">
        <f>Pricer!AN58</f>
        <v>0</v>
      </c>
      <c r="AN43" s="36">
        <f>Pricer!AO58</f>
        <v>0</v>
      </c>
      <c r="AO43" s="36">
        <f ca="1">Pricer!AP58</f>
        <v>-70.433768851575735</v>
      </c>
      <c r="AP43" s="36">
        <f ca="1">Pricer!AQ58</f>
        <v>-70.870424619107411</v>
      </c>
      <c r="AQ43" s="36">
        <f ca="1">Pricer!AR58</f>
        <v>-71.09202236563624</v>
      </c>
      <c r="AR43" s="36">
        <f ca="1">Pricer!AS58</f>
        <v>-71.087202023126736</v>
      </c>
      <c r="AS43" s="36">
        <f ca="1">Pricer!AT58</f>
        <v>-70.895069815529126</v>
      </c>
      <c r="AT43" s="36">
        <f ca="1">Pricer!AU58</f>
        <v>-70.583831303703363</v>
      </c>
      <c r="AU43" s="36">
        <f>Pricer!AV58</f>
        <v>0</v>
      </c>
      <c r="AV43" s="36">
        <f>Pricer!AW58</f>
        <v>0</v>
      </c>
    </row>
    <row r="44" spans="1:48">
      <c r="A44" s="36">
        <f ca="1">Pricer!B59</f>
        <v>-0.19330616411180709</v>
      </c>
      <c r="B44" s="36">
        <f ca="1">Pricer!C59</f>
        <v>-0.19085898271738189</v>
      </c>
      <c r="C44" s="36">
        <f ca="1">Pricer!D59</f>
        <v>-0.18752152660915375</v>
      </c>
      <c r="D44" s="36">
        <f ca="1">Pricer!E59</f>
        <v>-0.1833424343401325</v>
      </c>
      <c r="E44" s="36">
        <f ca="1">Pricer!F59</f>
        <v>-0.17907619471235542</v>
      </c>
      <c r="F44" s="36">
        <f ca="1">Pricer!G59</f>
        <v>-0.17490987301965116</v>
      </c>
      <c r="G44" s="36">
        <f>Pricer!H59</f>
        <v>0</v>
      </c>
      <c r="H44" s="36">
        <f>Pricer!I59</f>
        <v>0</v>
      </c>
      <c r="I44" s="36">
        <f ca="1">Pricer!J59</f>
        <v>0.17755916264830232</v>
      </c>
      <c r="J44" s="36">
        <f ca="1">Pricer!K59</f>
        <v>0.1718613309046268</v>
      </c>
      <c r="K44" s="36">
        <f ca="1">Pricer!L59</f>
        <v>0.16571819855386885</v>
      </c>
      <c r="L44" s="36">
        <f ca="1">Pricer!M59</f>
        <v>0.15920820608237093</v>
      </c>
      <c r="M44" s="36">
        <f ca="1">Pricer!N59</f>
        <v>0.15330490285659751</v>
      </c>
      <c r="N44" s="36">
        <f ca="1">Pricer!O59</f>
        <v>0.14800094173597261</v>
      </c>
      <c r="O44" s="36">
        <f>Pricer!P59</f>
        <v>0</v>
      </c>
      <c r="P44" s="36">
        <f>Pricer!Q59</f>
        <v>0</v>
      </c>
      <c r="Q44" s="36">
        <f ca="1">Pricer!R59</f>
        <v>1.9455111371752883E-2</v>
      </c>
      <c r="R44" s="36">
        <f ca="1">Pricer!S59</f>
        <v>1.8770707784334647E-2</v>
      </c>
      <c r="S44" s="36">
        <f ca="1">Pricer!T59</f>
        <v>1.8045449490972608E-2</v>
      </c>
      <c r="T44" s="36">
        <f ca="1">Pricer!U59</f>
        <v>1.728809415302536E-2</v>
      </c>
      <c r="U44" s="36">
        <f ca="1">Pricer!V59</f>
        <v>1.6609498938411463E-2</v>
      </c>
      <c r="V44" s="36">
        <f ca="1">Pricer!W59</f>
        <v>1.6005326196677438E-2</v>
      </c>
      <c r="W44" s="36">
        <f>Pricer!X59</f>
        <v>0</v>
      </c>
      <c r="X44" s="36">
        <f>Pricer!Y59</f>
        <v>0</v>
      </c>
      <c r="Y44" s="36">
        <f ca="1">Pricer!Z59</f>
        <v>-0.19818955531192012</v>
      </c>
      <c r="Z44" s="36">
        <f ca="1">Pricer!AA59</f>
        <v>-0.18946849650680481</v>
      </c>
      <c r="AA44" s="36">
        <f ca="1">Pricer!AB59</f>
        <v>-0.18071425506791303</v>
      </c>
      <c r="AB44" s="36">
        <f ca="1">Pricer!AC59</f>
        <v>-0.17199997335139047</v>
      </c>
      <c r="AC44" s="36">
        <f ca="1">Pricer!AD59</f>
        <v>-0.16449429753424022</v>
      </c>
      <c r="AD44" s="36">
        <f ca="1">Pricer!AE59</f>
        <v>-0.1580151247359417</v>
      </c>
      <c r="AE44" s="36">
        <f>Pricer!AF59</f>
        <v>0</v>
      </c>
      <c r="AF44" s="36">
        <f>Pricer!AG59</f>
        <v>0</v>
      </c>
      <c r="AG44" s="36">
        <f ca="1">Pricer!AH59</f>
        <v>0.17905131597306823</v>
      </c>
      <c r="AH44" s="36">
        <f ca="1">Pricer!AI59</f>
        <v>0.17132251706416507</v>
      </c>
      <c r="AI44" s="36">
        <f ca="1">Pricer!AJ59</f>
        <v>0.16354552552526885</v>
      </c>
      <c r="AJ44" s="36">
        <f ca="1">Pricer!AK59</f>
        <v>0.15578665328573527</v>
      </c>
      <c r="AK44" s="36">
        <f ca="1">Pricer!AL59</f>
        <v>0.14909161923436343</v>
      </c>
      <c r="AL44" s="36">
        <f ca="1">Pricer!AM59</f>
        <v>0.14330269134046814</v>
      </c>
      <c r="AM44" s="36">
        <f>Pricer!AN59</f>
        <v>0</v>
      </c>
      <c r="AN44" s="36">
        <f>Pricer!AO59</f>
        <v>0</v>
      </c>
      <c r="AO44" s="36">
        <f ca="1">Pricer!AP59</f>
        <v>4.1895894027282853E-3</v>
      </c>
      <c r="AP44" s="36">
        <f ca="1">Pricer!AQ59</f>
        <v>4.0754245802426389E-3</v>
      </c>
      <c r="AQ44" s="36">
        <f ca="1">Pricer!AR59</f>
        <v>3.9528183017038298E-3</v>
      </c>
      <c r="AR44" s="36">
        <f ca="1">Pricer!AS59</f>
        <v>3.8231751069569306E-3</v>
      </c>
      <c r="AS44" s="36">
        <f ca="1">Pricer!AT59</f>
        <v>3.7057398882037514E-3</v>
      </c>
      <c r="AT44" s="36">
        <f ca="1">Pricer!AU59</f>
        <v>3.6001881060455355E-3</v>
      </c>
      <c r="AU44" s="36">
        <f>Pricer!AV59</f>
        <v>0</v>
      </c>
      <c r="AV44" s="36">
        <f>Pricer!AW59</f>
        <v>0</v>
      </c>
    </row>
    <row r="45" spans="1:48">
      <c r="A45" s="2">
        <f ca="1">Pricer!B60</f>
        <v>-74150.723566357337</v>
      </c>
      <c r="B45" s="2">
        <f ca="1">Pricer!C60</f>
        <v>-70262.89056716449</v>
      </c>
      <c r="C45" s="2">
        <f ca="1">Pricer!D60</f>
        <v>-66398.151325461731</v>
      </c>
      <c r="D45" s="2">
        <f ca="1">Pricer!E60</f>
        <v>-62589.333058879245</v>
      </c>
      <c r="E45" s="2">
        <f ca="1">Pricer!F60</f>
        <v>-59340.182581030349</v>
      </c>
      <c r="F45" s="2">
        <f ca="1">Pricer!G60</f>
        <v>-56558.403669575295</v>
      </c>
      <c r="G45" s="2">
        <f>Pricer!H60</f>
        <v>0</v>
      </c>
      <c r="H45" s="2">
        <f>Pricer!I60</f>
        <v>0</v>
      </c>
      <c r="I45" s="2">
        <f ca="1">Pricer!J60</f>
        <v>44157.053729883657</v>
      </c>
      <c r="J45" s="2">
        <f ca="1">Pricer!K60</f>
        <v>41989.513295691031</v>
      </c>
      <c r="K45" s="2">
        <f ca="1">Pricer!L60</f>
        <v>39844.56969168465</v>
      </c>
      <c r="L45" s="2">
        <f ca="1">Pricer!M60</f>
        <v>37736.184968079382</v>
      </c>
      <c r="M45" s="2">
        <f ca="1">Pricer!N60</f>
        <v>35939.051262208326</v>
      </c>
      <c r="N45" s="2">
        <f ca="1">Pricer!O60</f>
        <v>34399.60015279497</v>
      </c>
      <c r="O45" s="2">
        <f>Pricer!P60</f>
        <v>0</v>
      </c>
      <c r="P45" s="2">
        <f>Pricer!Q60</f>
        <v>0</v>
      </c>
      <c r="Q45" s="2">
        <f ca="1">Pricer!R60</f>
        <v>4418.3688175828456</v>
      </c>
      <c r="R45" s="2">
        <f ca="1">Pricer!S60</f>
        <v>4209.0139742170622</v>
      </c>
      <c r="S45" s="2">
        <f ca="1">Pricer!T60</f>
        <v>4001.5878942474974</v>
      </c>
      <c r="T45" s="2">
        <f ca="1">Pricer!U60</f>
        <v>3797.3627962214377</v>
      </c>
      <c r="U45" s="2">
        <f ca="1">Pricer!V60</f>
        <v>3622.9610859765808</v>
      </c>
      <c r="V45" s="2">
        <f ca="1">Pricer!W60</f>
        <v>3473.2872623567246</v>
      </c>
      <c r="W45" s="2">
        <f>Pricer!X60</f>
        <v>0</v>
      </c>
      <c r="X45" s="2">
        <f>Pricer!Y60</f>
        <v>0</v>
      </c>
      <c r="Y45" s="2">
        <f ca="1">Pricer!Z60</f>
        <v>12548.095607606405</v>
      </c>
      <c r="Z45" s="2">
        <f ca="1">Pricer!AA60</f>
        <v>10295.434416196043</v>
      </c>
      <c r="AA45" s="2">
        <f ca="1">Pricer!AB60</f>
        <v>8136.1401932066656</v>
      </c>
      <c r="AB45" s="2">
        <f ca="1">Pricer!AC60</f>
        <v>6092.2186432393055</v>
      </c>
      <c r="AC45" s="2">
        <f ca="1">Pricer!AD60</f>
        <v>4419.7905475605858</v>
      </c>
      <c r="AD45" s="2">
        <f ca="1">Pricer!AE60</f>
        <v>3043.790768919619</v>
      </c>
      <c r="AE45" s="2">
        <f>Pricer!AF60</f>
        <v>0</v>
      </c>
      <c r="AF45" s="2">
        <f>Pricer!AG60</f>
        <v>0</v>
      </c>
      <c r="AG45" s="2">
        <f ca="1">Pricer!AH60</f>
        <v>-12512.786024707391</v>
      </c>
      <c r="AH45" s="2">
        <f ca="1">Pricer!AI60</f>
        <v>-10413.703309624005</v>
      </c>
      <c r="AI45" s="2">
        <f ca="1">Pricer!AJ60</f>
        <v>-8395.2453614407295</v>
      </c>
      <c r="AJ45" s="2">
        <f ca="1">Pricer!AK60</f>
        <v>-6478.4179720225648</v>
      </c>
      <c r="AK45" s="2">
        <f ca="1">Pricer!AL60</f>
        <v>-4905.0489537835092</v>
      </c>
      <c r="AL45" s="2">
        <f ca="1">Pricer!AM60</f>
        <v>-3606.8623197590791</v>
      </c>
      <c r="AM45" s="2">
        <f>Pricer!AN60</f>
        <v>0</v>
      </c>
      <c r="AN45" s="2">
        <f>Pricer!AO60</f>
        <v>0</v>
      </c>
      <c r="AO45" s="2">
        <f ca="1">Pricer!AP60</f>
        <v>-705.18823311513893</v>
      </c>
      <c r="AP45" s="2">
        <f ca="1">Pricer!AQ60</f>
        <v>-642.78935050107395</v>
      </c>
      <c r="AQ45" s="2">
        <f ca="1">Pricer!AR60</f>
        <v>-579.56733104111447</v>
      </c>
      <c r="AR45" s="2">
        <f ca="1">Pricer!AS60</f>
        <v>-516.39700237181307</v>
      </c>
      <c r="AS45" s="2">
        <f ca="1">Pricer!AT60</f>
        <v>-462.07432261660909</v>
      </c>
      <c r="AT45" s="2">
        <f ca="1">Pricer!AU60</f>
        <v>-415.42088364065705</v>
      </c>
      <c r="AU45" s="2">
        <f>Pricer!AV60</f>
        <v>0</v>
      </c>
      <c r="AV45" s="2">
        <f>Pricer!AW60</f>
        <v>0</v>
      </c>
    </row>
    <row r="46" spans="1:48">
      <c r="A46" s="2">
        <f ca="1">Pricer!B61</f>
        <v>-5663779.070288334</v>
      </c>
      <c r="B46" s="2">
        <f ca="1">Pricer!C61</f>
        <v>-5948769.8192044506</v>
      </c>
      <c r="C46" s="2">
        <f ca="1">Pricer!D61</f>
        <v>-6225345.637862321</v>
      </c>
      <c r="D46" s="2">
        <f ca="1">Pricer!E61</f>
        <v>-6488400.3434892725</v>
      </c>
      <c r="E46" s="2">
        <f ca="1">Pricer!F61</f>
        <v>-6702772.7101152092</v>
      </c>
      <c r="F46" s="2">
        <f ca="1">Pricer!G61</f>
        <v>-6877027.7347158752</v>
      </c>
      <c r="G46" s="2">
        <f>Pricer!H61</f>
        <v>0</v>
      </c>
      <c r="H46" s="2">
        <f>Pricer!I61</f>
        <v>0</v>
      </c>
      <c r="I46" s="2">
        <f ca="1">Pricer!J61</f>
        <v>5391420.9363767933</v>
      </c>
      <c r="J46" s="2">
        <f ca="1">Pricer!K61</f>
        <v>5558683.06760835</v>
      </c>
      <c r="K46" s="2">
        <f ca="1">Pricer!L61</f>
        <v>5716190.6974719446</v>
      </c>
      <c r="L46" s="2">
        <f ca="1">Pricer!M61</f>
        <v>5860969.7665528189</v>
      </c>
      <c r="M46" s="2">
        <f ca="1">Pricer!N61</f>
        <v>5974625.2103459006</v>
      </c>
      <c r="N46" s="2">
        <f ca="1">Pricer!O61</f>
        <v>6063468.0371470442</v>
      </c>
      <c r="O46" s="2">
        <f>Pricer!P61</f>
        <v>0</v>
      </c>
      <c r="P46" s="2">
        <f>Pricer!Q61</f>
        <v>0</v>
      </c>
      <c r="Q46" s="2">
        <f ca="1">Pricer!R61</f>
        <v>596287.70908121578</v>
      </c>
      <c r="R46" s="2">
        <f ca="1">Pricer!S61</f>
        <v>612951.05344576889</v>
      </c>
      <c r="S46" s="2">
        <f ca="1">Pricer!T61</f>
        <v>628548.65115452069</v>
      </c>
      <c r="T46" s="2">
        <f ca="1">Pricer!U61</f>
        <v>642781.72642428381</v>
      </c>
      <c r="U46" s="2">
        <f ca="1">Pricer!V61</f>
        <v>653859.68542767933</v>
      </c>
      <c r="V46" s="2">
        <f ca="1">Pricer!W61</f>
        <v>662436.06273142598</v>
      </c>
      <c r="W46" s="2">
        <f>Pricer!X61</f>
        <v>0</v>
      </c>
      <c r="X46" s="2">
        <f>Pricer!Y61</f>
        <v>0</v>
      </c>
      <c r="Y46" s="2">
        <f ca="1">Pricer!Z61</f>
        <v>-8311153.9195366781</v>
      </c>
      <c r="Z46" s="2">
        <f ca="1">Pricer!AA61</f>
        <v>-8469373.0466940217</v>
      </c>
      <c r="AA46" s="2">
        <f ca="1">Pricer!AB61</f>
        <v>-8619813.7121289205</v>
      </c>
      <c r="AB46" s="2">
        <f ca="1">Pricer!AC61</f>
        <v>-8759888.1739262231</v>
      </c>
      <c r="AC46" s="2">
        <f ca="1">Pricer!AD61</f>
        <v>-8871590.7232723311</v>
      </c>
      <c r="AD46" s="2">
        <f ca="1">Pricer!AE61</f>
        <v>-8960455.1288765613</v>
      </c>
      <c r="AE46" s="2">
        <f>Pricer!AF61</f>
        <v>0</v>
      </c>
      <c r="AF46" s="2">
        <f>Pricer!AG61</f>
        <v>0</v>
      </c>
      <c r="AG46" s="2">
        <f ca="1">Pricer!AH61</f>
        <v>7578895.8909910629</v>
      </c>
      <c r="AH46" s="2">
        <f ca="1">Pricer!AI61</f>
        <v>7729587.3286463581</v>
      </c>
      <c r="AI46" s="2">
        <f ca="1">Pricer!AJ61</f>
        <v>7873229.1688064393</v>
      </c>
      <c r="AJ46" s="2">
        <f ca="1">Pricer!AK61</f>
        <v>8007402.5145334909</v>
      </c>
      <c r="AK46" s="2">
        <f ca="1">Pricer!AL61</f>
        <v>8114815.5523623321</v>
      </c>
      <c r="AL46" s="2">
        <f ca="1">Pricer!AM61</f>
        <v>8200643.5643575201</v>
      </c>
      <c r="AM46" s="2">
        <f>Pricer!AN61</f>
        <v>0</v>
      </c>
      <c r="AN46" s="2">
        <f>Pricer!AO61</f>
        <v>0</v>
      </c>
      <c r="AO46" s="2">
        <f ca="1">Pricer!AP61</f>
        <v>202262.11425980501</v>
      </c>
      <c r="AP46" s="2">
        <f ca="1">Pricer!AQ61</f>
        <v>209559.80999155744</v>
      </c>
      <c r="AQ46" s="2">
        <f ca="1">Pricer!AR61</f>
        <v>216721.55263147622</v>
      </c>
      <c r="AR46" s="2">
        <f ca="1">Pricer!AS61</f>
        <v>223647.60043361186</v>
      </c>
      <c r="AS46" s="2">
        <f ca="1">Pricer!AT61</f>
        <v>229414.58486689348</v>
      </c>
      <c r="AT46" s="2">
        <f ca="1">Pricer!AU61</f>
        <v>234218.78706505231</v>
      </c>
      <c r="AU46" s="2">
        <f>Pricer!AV61</f>
        <v>0</v>
      </c>
      <c r="AV46" s="2">
        <f>Pricer!AW61</f>
        <v>0</v>
      </c>
    </row>
    <row r="47" spans="1:48">
      <c r="A47" s="2">
        <f ca="1">Pricer!B62</f>
        <v>22313498.98498648</v>
      </c>
      <c r="B47" s="2">
        <f ca="1">Pricer!C62</f>
        <v>22719667.393547747</v>
      </c>
      <c r="C47" s="2">
        <f ca="1">Pricer!D62</f>
        <v>23077972.151180066</v>
      </c>
      <c r="D47" s="2">
        <f ca="1">Pricer!E62</f>
        <v>23378419.50498211</v>
      </c>
      <c r="E47" s="2">
        <f ca="1">Pricer!F62</f>
        <v>23586248.46992163</v>
      </c>
      <c r="F47" s="2">
        <f ca="1">Pricer!G62</f>
        <v>23723347.908997476</v>
      </c>
      <c r="G47" s="2">
        <f>Pricer!H62</f>
        <v>0</v>
      </c>
      <c r="H47" s="2">
        <f>Pricer!I62</f>
        <v>0</v>
      </c>
      <c r="I47" s="2">
        <f ca="1">Pricer!J62</f>
        <v>-15875504.546479331</v>
      </c>
      <c r="J47" s="2">
        <f ca="1">Pricer!K62</f>
        <v>-16137501.315324882</v>
      </c>
      <c r="K47" s="2">
        <f ca="1">Pricer!L62</f>
        <v>-16370162.319050133</v>
      </c>
      <c r="L47" s="2">
        <f ca="1">Pricer!M62</f>
        <v>-16567158.897185145</v>
      </c>
      <c r="M47" s="2">
        <f ca="1">Pricer!N62</f>
        <v>-16705358.965306878</v>
      </c>
      <c r="N47" s="2">
        <f ca="1">Pricer!O62</f>
        <v>-16798412.306475494</v>
      </c>
      <c r="O47" s="2">
        <f>Pricer!P62</f>
        <v>0</v>
      </c>
      <c r="P47" s="2">
        <f>Pricer!Q62</f>
        <v>0</v>
      </c>
      <c r="Q47" s="2">
        <f ca="1">Pricer!R62</f>
        <v>-1663596.9133245351</v>
      </c>
      <c r="R47" s="2">
        <f ca="1">Pricer!S62</f>
        <v>-1691106.9419836376</v>
      </c>
      <c r="S47" s="2">
        <f ca="1">Pricer!T62</f>
        <v>-1715667.3352874615</v>
      </c>
      <c r="T47" s="2">
        <f ca="1">Pricer!U62</f>
        <v>-1736621.1933649981</v>
      </c>
      <c r="U47" s="2">
        <f ca="1">Pricer!V62</f>
        <v>-1751481.4872079981</v>
      </c>
      <c r="V47" s="2">
        <f ca="1">Pricer!W62</f>
        <v>-1761645.0837981415</v>
      </c>
      <c r="W47" s="2">
        <f>Pricer!X62</f>
        <v>0</v>
      </c>
      <c r="X47" s="2">
        <f>Pricer!Y62</f>
        <v>0</v>
      </c>
      <c r="Y47" s="2">
        <f ca="1">Pricer!Z62</f>
        <v>10595860.967473604</v>
      </c>
      <c r="Z47" s="2">
        <f ca="1">Pricer!AA62</f>
        <v>11127960.00779062</v>
      </c>
      <c r="AA47" s="2">
        <f ca="1">Pricer!AB62</f>
        <v>11670123.164672453</v>
      </c>
      <c r="AB47" s="2">
        <f ca="1">Pricer!AC62</f>
        <v>12215544.228945144</v>
      </c>
      <c r="AC47" s="2">
        <f ca="1">Pricer!AD62</f>
        <v>12687678.007801063</v>
      </c>
      <c r="AD47" s="2">
        <f ca="1">Pricer!AE62</f>
        <v>13095296.378273958</v>
      </c>
      <c r="AE47" s="2">
        <f>Pricer!AF62</f>
        <v>0</v>
      </c>
      <c r="AF47" s="2">
        <f>Pricer!AG62</f>
        <v>0</v>
      </c>
      <c r="AG47" s="2">
        <f ca="1">Pricer!AH62</f>
        <v>-9529283.8842780124</v>
      </c>
      <c r="AH47" s="2">
        <f ca="1">Pricer!AI62</f>
        <v>-10022918.077449296</v>
      </c>
      <c r="AI47" s="2">
        <f ca="1">Pricer!AJ62</f>
        <v>-10526880.412032425</v>
      </c>
      <c r="AJ47" s="2">
        <f ca="1">Pricer!AK62</f>
        <v>-11034950.034196513</v>
      </c>
      <c r="AK47" s="2">
        <f ca="1">Pricer!AL62</f>
        <v>-11475699.318806715</v>
      </c>
      <c r="AL47" s="2">
        <f ca="1">Pricer!AM62</f>
        <v>-11856997.849137278</v>
      </c>
      <c r="AM47" s="2">
        <f>Pricer!AN62</f>
        <v>0</v>
      </c>
      <c r="AN47" s="2">
        <f>Pricer!AO62</f>
        <v>0</v>
      </c>
      <c r="AO47" s="2">
        <f ca="1">Pricer!AP62</f>
        <v>-212799.23218483542</v>
      </c>
      <c r="AP47" s="2">
        <f ca="1">Pricer!AQ62</f>
        <v>-229296.33183031157</v>
      </c>
      <c r="AQ47" s="2">
        <f ca="1">Pricer!AR62</f>
        <v>-246594.54671640898</v>
      </c>
      <c r="AR47" s="2">
        <f ca="1">Pricer!AS62</f>
        <v>-264527.21978883387</v>
      </c>
      <c r="AS47" s="2">
        <f ca="1">Pricer!AT62</f>
        <v>-280514.91292659304</v>
      </c>
      <c r="AT47" s="2">
        <f ca="1">Pricer!AU62</f>
        <v>-294696.99675561552</v>
      </c>
      <c r="AU47" s="2">
        <f>Pricer!AV62</f>
        <v>0</v>
      </c>
      <c r="AV47" s="2">
        <f>Pricer!AW62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MTM &amp; Margin req</vt:lpstr>
      <vt:lpstr>Summary Sheet</vt:lpstr>
      <vt:lpstr>Pricer</vt:lpstr>
      <vt:lpstr>Pivot of Positions</vt:lpstr>
      <vt:lpstr>MarketData</vt:lpstr>
      <vt:lpstr>Pricing Params</vt:lpstr>
      <vt:lpstr>Product Description</vt:lpstr>
      <vt:lpstr>Day1 Vega Hedge</vt:lpstr>
      <vt:lpstr>Data</vt:lpstr>
      <vt:lpstr>'Day1 Vega Hedge'!t</vt:lpstr>
      <vt:lpstr>t</vt:lpstr>
      <vt:lpstr>'Day1 Vega Hedge'!x</vt:lpstr>
      <vt:lpstr>x</vt:lpstr>
      <vt:lpstr>'Day1 Vega Hedge'!y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Kalpesh Koradia</dc:creator>
  <cp:lastModifiedBy>SHIBAYAN BISWAS</cp:lastModifiedBy>
  <cp:lastPrinted>2019-03-05T09:31:14Z</cp:lastPrinted>
  <dcterms:created xsi:type="dcterms:W3CDTF">2016-12-01T03:44:30Z</dcterms:created>
  <dcterms:modified xsi:type="dcterms:W3CDTF">2026-10-27T12:53:31Z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2023-02-28T18:44:29Z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8c992cc7-c498-4831-8453-de3f4a9f1c63</vt:lpwstr>
  </property>
  <property fmtid="{D5CDD505-2E9C-101B-9397-08002B2CF9AE}" pid="7" name="MSIP_Label_defa4170-0d19-0005-0004-bc88714345d2_ActionId">
    <vt:lpwstr>e4f99bee-ec16-4bcc-a2bc-4c83ff6f89ff</vt:lpwstr>
  </property>
  <property fmtid="{D5CDD505-2E9C-101B-9397-08002B2CF9AE}" pid="8" name="MSIP_Label_defa4170-0d19-0005-0004-bc88714345d2_ContentBits">
    <vt:lpwstr>0</vt:lpwstr>
  </property>
</Properties>
</file>