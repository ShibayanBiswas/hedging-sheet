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l Surface" state="visible" r:id="rId4"/>
    <sheet sheetId="2" name="Surface Parameters" state="visible" r:id="rId5"/>
    <sheet sheetId="3" name="Rate Curve" state="visible" r:id="rId6"/>
    <sheet sheetId="4" name="Dividends" state="visible" r:id="rId7"/>
  </sheets>
  <calcPr calcId="171027"/>
</workbook>
</file>

<file path=xl/sharedStrings.xml><?xml version="1.0" encoding="utf-8"?>
<sst xmlns="http://schemas.openxmlformats.org/spreadsheetml/2006/main" count="37" uniqueCount="32">
  <si>
    <t>Volatility Surface Input · August 2026</t>
  </si>
  <si>
    <t>Implied volatility in percent points by strike and expiry. Strike rows are live formulas of the reference prices times the Strike Change.</t>
  </si>
  <si>
    <t>Anand Rathi Wealth · Hedging Sheet</t>
  </si>
  <si>
    <t>Strike Change</t>
  </si>
  <si>
    <t>Deep</t>
  </si>
  <si>
    <t>Nifty Strikes</t>
  </si>
  <si>
    <t>Sensex Strikes</t>
  </si>
  <si>
    <t>Expiry Date</t>
  </si>
  <si>
    <t>Surface Parameters · August 2026</t>
  </si>
  <si>
    <t>Reference prices are the 100 percent anchors of the Strike Change columns. The Pricing Params table is read by expiry date.</t>
  </si>
  <si>
    <t>Parameter</t>
  </si>
  <si>
    <t>Value</t>
  </si>
  <si>
    <t>Month</t>
  </si>
  <si>
    <t>August 2026</t>
  </si>
  <si>
    <t>Reference Nifty Price</t>
  </si>
  <si>
    <t>Reference Sensex Price</t>
  </si>
  <si>
    <t>Volatility Bump</t>
  </si>
  <si>
    <t>Forward Sell Rate</t>
  </si>
  <si>
    <t>Rate Cap While Buying Forward</t>
  </si>
  <si>
    <t>Dividend Bid Offer Multiplier</t>
  </si>
  <si>
    <t>Date</t>
  </si>
  <si>
    <t>BID</t>
  </si>
  <si>
    <t>Inc. Margin</t>
  </si>
  <si>
    <t>Full Margin</t>
  </si>
  <si>
    <t>Margin Cost</t>
  </si>
  <si>
    <t>Fwd Sell rate</t>
  </si>
  <si>
    <t>Rate Curve</t>
  </si>
  <si>
    <t>Discount curve points in percent per annum. Leave the last points at the Premium Growth Rate to match the workbook.</t>
  </si>
  <si>
    <t>Rate In Percent</t>
  </si>
  <si>
    <t>Implied Dividends</t>
  </si>
  <si>
    <t>Monthly implied dividends in Sensex index points.</t>
  </si>
  <si>
    <t>Implied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</si>
</sst>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1C1917"/>
      <sz val="10"/>
      <name val="Calibri"/>
    </font>
    <font>
      <i/>
      <color rgb="FF78716C"/>
      <sz val="8"/>
      <name val="Calibri"/>
    </font>
    <font>
      <b/>
      <color rgb="FF1C1917"/>
      <sz val="9"/>
      <name val="Calibri"/>
    </font>
    <font>
      <color rgb="FF1C1917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F8EE"/>
      </patternFill>
    </fill>
    <fill>
      <patternFill patternType="solid">
        <fgColor rgb="FFD4B24C"/>
      </patternFill>
    </fill>
    <fill>
      <patternFill patternType="solid">
        <fgColor rgb="FF5C1622"/>
      </patternFill>
    </fill>
    <fill>
      <patternFill patternType="solid">
        <fgColor rgb="FFF8F4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B88A"/>
      </bottom>
      <diagonal/>
    </border>
    <border>
      <left style="thin">
        <color rgb="FFE7E1CF"/>
      </left>
      <right style="thin">
        <color rgb="FFE7E1CF"/>
      </right>
      <top style="thin">
        <color rgb="FFE7E1CF"/>
      </top>
      <bottom style="thin">
        <color rgb="FFE7E1C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002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002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002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002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showGridLines="0"/>
  </sheetViews>
  <sheetFormatPr defaultRowHeight="15" outlineLevelRow="0" outlineLevelCol="0" x14ac:dyDescent="55"/>
  <cols>
    <col min="1" max="1" width="18" customWidth="1"/>
    <col min="2" max="22" width="11" customWidth="1"/>
  </cols>
  <sheetData>
    <row r="1" ht="30" customHeight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6" customHeight="1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5" customHeight="1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36" customHeight="1" spans="1:22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2" customHeight="1" spans="1:22" x14ac:dyDescent="0.25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6" customHeight="1" spans="1:22" x14ac:dyDescent="0.25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8" customHeight="1" x14ac:dyDescent="0.25"/>
    <row r="9" spans="1:22" x14ac:dyDescent="0.25">
      <c r="A9" s="6" t="s">
        <v>3</v>
      </c>
      <c r="B9" s="6" t="s">
        <v>4</v>
      </c>
      <c r="C9" s="7">
        <v>0.55</v>
      </c>
      <c r="D9" s="7">
        <v>0.6</v>
      </c>
      <c r="E9" s="7">
        <v>0.65</v>
      </c>
      <c r="F9" s="7">
        <v>0.7</v>
      </c>
      <c r="G9" s="7">
        <v>0.75</v>
      </c>
      <c r="H9" s="7">
        <v>0.8</v>
      </c>
      <c r="I9" s="7">
        <v>0.85</v>
      </c>
      <c r="J9" s="7">
        <v>0.9</v>
      </c>
      <c r="K9" s="7">
        <v>0.95</v>
      </c>
      <c r="L9" s="7">
        <v>1</v>
      </c>
      <c r="M9" s="7">
        <v>1.05</v>
      </c>
      <c r="N9" s="7">
        <v>1.1</v>
      </c>
      <c r="O9" s="7">
        <v>1.15</v>
      </c>
      <c r="P9" s="7">
        <v>1.2</v>
      </c>
      <c r="Q9" s="7">
        <v>1.25</v>
      </c>
      <c r="R9" s="7">
        <v>1.3</v>
      </c>
      <c r="S9" s="7">
        <v>1.35</v>
      </c>
      <c r="T9" s="7">
        <v>1.4</v>
      </c>
      <c r="U9" s="7">
        <v>1.45</v>
      </c>
      <c r="V9" s="7">
        <v>1.5</v>
      </c>
    </row>
    <row r="10" spans="1:22" x14ac:dyDescent="0.25">
      <c r="A10" s="8" t="s">
        <v>5</v>
      </c>
      <c r="B10" s="9">
        <v>500</v>
      </c>
      <c r="C10" s="10">
        <f>'Surface Parameters'!$B$11*C9</f>
        <v>13197.772500000001</v>
      </c>
      <c r="D10" s="10">
        <f>'Surface Parameters'!$B$11*D9</f>
        <v>14397.57</v>
      </c>
      <c r="E10" s="10">
        <f>'Surface Parameters'!$B$11*E9</f>
        <v>15597.3675</v>
      </c>
      <c r="F10" s="10">
        <f>'Surface Parameters'!$B$11*F9</f>
        <v>16797.165</v>
      </c>
      <c r="G10" s="10">
        <f>'Surface Parameters'!$B$11*G9</f>
        <v>17996.9625</v>
      </c>
      <c r="H10" s="10">
        <f>'Surface Parameters'!$B$11*H9</f>
        <v>19196.760000000002</v>
      </c>
      <c r="I10" s="10">
        <f>'Surface Parameters'!$B$11*I9</f>
        <v>20396.5575</v>
      </c>
      <c r="J10" s="10">
        <f>'Surface Parameters'!$B$11*J9</f>
        <v>21596.355</v>
      </c>
      <c r="K10" s="10">
        <f>'Surface Parameters'!$B$11*K9</f>
        <v>22796.1525</v>
      </c>
      <c r="L10" s="10">
        <f>'Surface Parameters'!$B$11*L9</f>
        <v>23995.95</v>
      </c>
      <c r="M10" s="10">
        <f>'Surface Parameters'!$B$11*M9</f>
        <v>25195.7475</v>
      </c>
      <c r="N10" s="10">
        <f>'Surface Parameters'!$B$11*N9</f>
        <v>26395.545000000002</v>
      </c>
      <c r="O10" s="10">
        <f>'Surface Parameters'!$B$11*O9</f>
        <v>27595.3425</v>
      </c>
      <c r="P10" s="10">
        <f>'Surface Parameters'!$B$11*P9</f>
        <v>28795.14</v>
      </c>
      <c r="Q10" s="10">
        <f>'Surface Parameters'!$B$11*Q9</f>
        <v>29994.9375</v>
      </c>
      <c r="R10" s="10">
        <f>'Surface Parameters'!$B$11*R9</f>
        <v>31194.735</v>
      </c>
      <c r="S10" s="10">
        <f>'Surface Parameters'!$B$11*S9</f>
        <v>32394.532500000005</v>
      </c>
      <c r="T10" s="10">
        <f>'Surface Parameters'!$B$11*T9</f>
        <v>33594.33</v>
      </c>
      <c r="U10" s="10">
        <f>'Surface Parameters'!$B$11*U9</f>
        <v>34794.1275</v>
      </c>
      <c r="V10" s="10">
        <f>'Surface Parameters'!$B$11*V9</f>
        <v>35993.925</v>
      </c>
    </row>
    <row r="11" spans="1:22" x14ac:dyDescent="0.25">
      <c r="A11" s="8" t="s">
        <v>6</v>
      </c>
      <c r="B11" s="9">
        <v>500</v>
      </c>
      <c r="C11" s="10">
        <f>'Surface Parameters'!$B$12*C9</f>
        <v>42259.679000000004</v>
      </c>
      <c r="D11" s="10">
        <f>'Surface Parameters'!$B$12*D9</f>
        <v>46101.468</v>
      </c>
      <c r="E11" s="10">
        <f>'Surface Parameters'!$B$12*E9</f>
        <v>49943.257</v>
      </c>
      <c r="F11" s="10">
        <f>'Surface Parameters'!$B$12*F9</f>
        <v>53785.045999999995</v>
      </c>
      <c r="G11" s="10">
        <f>'Surface Parameters'!$B$12*G9</f>
        <v>57626.835</v>
      </c>
      <c r="H11" s="10">
        <f>'Surface Parameters'!$B$12*H9</f>
        <v>61468.624</v>
      </c>
      <c r="I11" s="10">
        <f>'Surface Parameters'!$B$12*I9</f>
        <v>65310.413</v>
      </c>
      <c r="J11" s="10">
        <f>'Surface Parameters'!$B$12*J9</f>
        <v>69152.202</v>
      </c>
      <c r="K11" s="10">
        <f>'Surface Parameters'!$B$12*K9</f>
        <v>72993.991</v>
      </c>
      <c r="L11" s="10">
        <f>'Surface Parameters'!$B$12*L9</f>
        <v>76835.78</v>
      </c>
      <c r="M11" s="10">
        <f>'Surface Parameters'!$B$12*M9</f>
        <v>80677.569</v>
      </c>
      <c r="N11" s="10">
        <f>'Surface Parameters'!$B$12*N9</f>
        <v>84519.35800000001</v>
      </c>
      <c r="O11" s="10">
        <f>'Surface Parameters'!$B$12*O9</f>
        <v>88361.147</v>
      </c>
      <c r="P11" s="10">
        <f>'Surface Parameters'!$B$12*P9</f>
        <v>92202.936</v>
      </c>
      <c r="Q11" s="10">
        <f>'Surface Parameters'!$B$12*Q9</f>
        <v>96044.725</v>
      </c>
      <c r="R11" s="10">
        <f>'Surface Parameters'!$B$12*R9</f>
        <v>99886.514</v>
      </c>
      <c r="S11" s="10">
        <f>'Surface Parameters'!$B$12*S9</f>
        <v>103728.303</v>
      </c>
      <c r="T11" s="10">
        <f>'Surface Parameters'!$B$12*T9</f>
        <v>107570.09199999999</v>
      </c>
      <c r="U11" s="10">
        <f>'Surface Parameters'!$B$12*U9</f>
        <v>111411.881</v>
      </c>
      <c r="V11" s="10">
        <f>'Surface Parameters'!$B$12*V9</f>
        <v>115253.67</v>
      </c>
    </row>
    <row r="12" spans="1:22" x14ac:dyDescent="0.25">
      <c r="A12" s="8" t="s">
        <v>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12">
        <v>46203</v>
      </c>
      <c r="B13" s="13">
        <v>50.9</v>
      </c>
      <c r="C13" s="13">
        <v>53.5</v>
      </c>
      <c r="D13" s="13">
        <v>47.64</v>
      </c>
      <c r="E13" s="13">
        <v>42.07</v>
      </c>
      <c r="F13" s="13">
        <v>37.05</v>
      </c>
      <c r="G13" s="13">
        <v>32.77</v>
      </c>
      <c r="H13" s="13">
        <v>35.16</v>
      </c>
      <c r="I13" s="13">
        <v>28.86</v>
      </c>
      <c r="J13" s="13">
        <v>22.55</v>
      </c>
      <c r="K13" s="13">
        <v>16.8</v>
      </c>
      <c r="L13" s="13">
        <v>13.51</v>
      </c>
      <c r="M13" s="13">
        <v>14.32</v>
      </c>
      <c r="N13" s="13">
        <v>17.91</v>
      </c>
      <c r="O13" s="13">
        <v>21.78</v>
      </c>
      <c r="P13" s="13">
        <v>26.23</v>
      </c>
      <c r="Q13" s="13">
        <v>22.4</v>
      </c>
      <c r="R13" s="13">
        <v>24.56</v>
      </c>
      <c r="S13" s="13">
        <v>26.53</v>
      </c>
      <c r="T13" s="13">
        <v>32.17</v>
      </c>
      <c r="U13" s="13">
        <v>34.35</v>
      </c>
      <c r="V13" s="13">
        <v>36.37</v>
      </c>
    </row>
    <row r="14" spans="1:22" x14ac:dyDescent="0.25">
      <c r="A14" s="12">
        <v>46231</v>
      </c>
      <c r="B14" s="13">
        <v>50.9</v>
      </c>
      <c r="C14" s="13">
        <v>46.24</v>
      </c>
      <c r="D14" s="13">
        <v>42.14</v>
      </c>
      <c r="E14" s="13">
        <v>38.09</v>
      </c>
      <c r="F14" s="13">
        <v>33.95</v>
      </c>
      <c r="G14" s="13">
        <v>29.84</v>
      </c>
      <c r="H14" s="13">
        <v>25.96</v>
      </c>
      <c r="I14" s="13">
        <v>22.07</v>
      </c>
      <c r="J14" s="13">
        <v>18.57</v>
      </c>
      <c r="K14" s="13">
        <v>15.8</v>
      </c>
      <c r="L14" s="13">
        <v>13.88</v>
      </c>
      <c r="M14" s="13">
        <v>12.96</v>
      </c>
      <c r="N14" s="13">
        <v>13.73</v>
      </c>
      <c r="O14" s="13">
        <v>15.59</v>
      </c>
      <c r="P14" s="13">
        <v>17.81</v>
      </c>
      <c r="Q14" s="13">
        <v>19.27</v>
      </c>
      <c r="R14" s="13">
        <v>20.93</v>
      </c>
      <c r="S14" s="13">
        <v>22.55</v>
      </c>
      <c r="T14" s="13">
        <v>24.05</v>
      </c>
      <c r="U14" s="13">
        <v>25.62</v>
      </c>
      <c r="V14" s="13">
        <v>27.59</v>
      </c>
    </row>
    <row r="15" spans="1:22" x14ac:dyDescent="0.25">
      <c r="A15" s="12">
        <v>46259</v>
      </c>
      <c r="B15" s="13">
        <v>45.12</v>
      </c>
      <c r="C15" s="13">
        <v>46.12</v>
      </c>
      <c r="D15" s="13">
        <v>42.11</v>
      </c>
      <c r="E15" s="13">
        <v>37.78</v>
      </c>
      <c r="F15" s="13">
        <v>33.33</v>
      </c>
      <c r="G15" s="13">
        <v>29.25</v>
      </c>
      <c r="H15" s="13">
        <v>25.42</v>
      </c>
      <c r="I15" s="13">
        <v>21.36</v>
      </c>
      <c r="J15" s="13">
        <v>17.56</v>
      </c>
      <c r="K15" s="13">
        <v>14.39</v>
      </c>
      <c r="L15" s="13">
        <v>12.45</v>
      </c>
      <c r="M15" s="13">
        <v>11.42</v>
      </c>
      <c r="N15" s="13">
        <v>12.28</v>
      </c>
      <c r="O15" s="13">
        <v>14.03</v>
      </c>
      <c r="P15" s="13">
        <v>16.17</v>
      </c>
      <c r="Q15" s="13">
        <v>17.89</v>
      </c>
      <c r="R15" s="13">
        <v>19.57</v>
      </c>
      <c r="S15" s="13">
        <v>21.18</v>
      </c>
      <c r="T15" s="13">
        <v>23.54</v>
      </c>
      <c r="U15" s="13">
        <v>25.69</v>
      </c>
      <c r="V15" s="13">
        <v>27.39</v>
      </c>
    </row>
    <row r="16" spans="1:22" x14ac:dyDescent="0.25">
      <c r="A16" s="12">
        <v>46294</v>
      </c>
      <c r="B16" s="13">
        <v>41.94</v>
      </c>
      <c r="C16" s="13">
        <v>38.38</v>
      </c>
      <c r="D16" s="13">
        <v>35.2</v>
      </c>
      <c r="E16" s="13">
        <v>32.01</v>
      </c>
      <c r="F16" s="13">
        <v>28.81</v>
      </c>
      <c r="G16" s="13">
        <v>25.62</v>
      </c>
      <c r="H16" s="13">
        <v>22.51</v>
      </c>
      <c r="I16" s="13">
        <v>19.37</v>
      </c>
      <c r="J16" s="13">
        <v>16.46</v>
      </c>
      <c r="K16" s="13">
        <v>14.27</v>
      </c>
      <c r="L16" s="13">
        <v>12.85</v>
      </c>
      <c r="M16" s="13">
        <v>11.76</v>
      </c>
      <c r="N16" s="13">
        <v>11.7</v>
      </c>
      <c r="O16" s="13">
        <v>12.79</v>
      </c>
      <c r="P16" s="13">
        <v>14.18</v>
      </c>
      <c r="Q16" s="13">
        <v>15.82</v>
      </c>
      <c r="R16" s="13">
        <v>17.25</v>
      </c>
      <c r="S16" s="13">
        <v>18.59</v>
      </c>
      <c r="T16" s="13">
        <v>19.84</v>
      </c>
      <c r="U16" s="13">
        <v>21.02</v>
      </c>
      <c r="V16" s="13">
        <v>22.13</v>
      </c>
    </row>
    <row r="17" spans="1:22" x14ac:dyDescent="0.25">
      <c r="A17" s="12">
        <v>46322</v>
      </c>
      <c r="B17" s="13">
        <v>35.68</v>
      </c>
      <c r="C17" s="13">
        <v>37.26</v>
      </c>
      <c r="D17" s="13">
        <v>34.04</v>
      </c>
      <c r="E17" s="13">
        <v>30.84</v>
      </c>
      <c r="F17" s="13">
        <v>27.68</v>
      </c>
      <c r="G17" s="13">
        <v>24.56</v>
      </c>
      <c r="H17" s="13">
        <v>21.63</v>
      </c>
      <c r="I17" s="13">
        <v>18.78</v>
      </c>
      <c r="J17" s="13">
        <v>16.14</v>
      </c>
      <c r="K17" s="13">
        <v>14.17</v>
      </c>
      <c r="L17" s="13">
        <v>12.84</v>
      </c>
      <c r="M17" s="13">
        <v>11.82</v>
      </c>
      <c r="N17" s="13">
        <v>11.66</v>
      </c>
      <c r="O17" s="13">
        <v>12.5</v>
      </c>
      <c r="P17" s="13">
        <v>13.83</v>
      </c>
      <c r="Q17" s="13">
        <v>15.48</v>
      </c>
      <c r="R17" s="13">
        <v>16.9</v>
      </c>
      <c r="S17" s="13">
        <v>18.27</v>
      </c>
      <c r="T17" s="13">
        <v>19.57</v>
      </c>
      <c r="U17" s="13">
        <v>20.82</v>
      </c>
      <c r="V17" s="13">
        <v>22.01</v>
      </c>
    </row>
    <row r="18" spans="1:22" x14ac:dyDescent="0.25">
      <c r="A18" s="12">
        <v>46385</v>
      </c>
      <c r="B18" s="13">
        <v>35.68</v>
      </c>
      <c r="C18" s="13">
        <v>33.39</v>
      </c>
      <c r="D18" s="13">
        <v>30.67</v>
      </c>
      <c r="E18" s="13">
        <v>27.97</v>
      </c>
      <c r="F18" s="13">
        <v>25.31</v>
      </c>
      <c r="G18" s="13">
        <v>22.74</v>
      </c>
      <c r="H18" s="13">
        <v>20.29</v>
      </c>
      <c r="I18" s="13">
        <v>17.95</v>
      </c>
      <c r="J18" s="13">
        <v>15.91</v>
      </c>
      <c r="K18" s="13">
        <v>14.32</v>
      </c>
      <c r="L18" s="13">
        <v>13.14</v>
      </c>
      <c r="M18" s="13">
        <v>12.16</v>
      </c>
      <c r="N18" s="13">
        <v>11.56</v>
      </c>
      <c r="O18" s="13">
        <v>11.62</v>
      </c>
      <c r="P18" s="13">
        <v>12.26</v>
      </c>
      <c r="Q18" s="13">
        <v>13.16</v>
      </c>
      <c r="R18" s="13">
        <v>14.1</v>
      </c>
      <c r="S18" s="13">
        <v>15.03</v>
      </c>
      <c r="T18" s="13">
        <v>15.94</v>
      </c>
      <c r="U18" s="13">
        <v>16.82</v>
      </c>
      <c r="V18" s="13">
        <v>17.66</v>
      </c>
    </row>
    <row r="19" spans="1:22" x14ac:dyDescent="0.25">
      <c r="A19" s="12">
        <v>46476</v>
      </c>
      <c r="B19" s="13">
        <v>31.5</v>
      </c>
      <c r="C19" s="13">
        <v>30.78</v>
      </c>
      <c r="D19" s="13">
        <v>28.4</v>
      </c>
      <c r="E19" s="13">
        <v>26.09</v>
      </c>
      <c r="F19" s="13">
        <v>23.85</v>
      </c>
      <c r="G19" s="13">
        <v>21.73</v>
      </c>
      <c r="H19" s="13">
        <v>19.7</v>
      </c>
      <c r="I19" s="13">
        <v>17.86</v>
      </c>
      <c r="J19" s="13">
        <v>16.25</v>
      </c>
      <c r="K19" s="13">
        <v>14.92</v>
      </c>
      <c r="L19" s="13">
        <v>13.79</v>
      </c>
      <c r="M19" s="13">
        <v>12.87</v>
      </c>
      <c r="N19" s="13">
        <v>12.2</v>
      </c>
      <c r="O19" s="13">
        <v>11.85</v>
      </c>
      <c r="P19" s="13">
        <v>11.92</v>
      </c>
      <c r="Q19" s="13">
        <v>12.33</v>
      </c>
      <c r="R19" s="13">
        <v>12.91</v>
      </c>
      <c r="S19" s="13">
        <v>13.59</v>
      </c>
      <c r="T19" s="13">
        <v>14.3</v>
      </c>
      <c r="U19" s="13">
        <v>15.02</v>
      </c>
      <c r="V19" s="13">
        <v>15.74</v>
      </c>
    </row>
    <row r="20" spans="1:22" x14ac:dyDescent="0.25">
      <c r="A20" s="12">
        <v>46567</v>
      </c>
      <c r="B20" s="13">
        <v>29.84</v>
      </c>
      <c r="C20" s="13">
        <v>28.9</v>
      </c>
      <c r="D20" s="13">
        <v>26.84</v>
      </c>
      <c r="E20" s="13">
        <v>24.85</v>
      </c>
      <c r="F20" s="13">
        <v>22.94</v>
      </c>
      <c r="G20" s="13">
        <v>21.12</v>
      </c>
      <c r="H20" s="13">
        <v>19.39</v>
      </c>
      <c r="I20" s="13">
        <v>17.81</v>
      </c>
      <c r="J20" s="13">
        <v>16.37</v>
      </c>
      <c r="K20" s="13">
        <v>15.16</v>
      </c>
      <c r="L20" s="13">
        <v>14.14</v>
      </c>
      <c r="M20" s="13">
        <v>13.28</v>
      </c>
      <c r="N20" s="13">
        <v>12.61</v>
      </c>
      <c r="O20" s="13">
        <v>12.15</v>
      </c>
      <c r="P20" s="13">
        <v>11.96</v>
      </c>
      <c r="Q20" s="13">
        <v>12.09</v>
      </c>
      <c r="R20" s="13">
        <v>12.4</v>
      </c>
      <c r="S20" s="13">
        <v>12.77</v>
      </c>
      <c r="T20" s="13">
        <v>13.22</v>
      </c>
      <c r="U20" s="13">
        <v>13.71</v>
      </c>
      <c r="V20" s="13">
        <v>14.22</v>
      </c>
    </row>
    <row r="21" spans="1:22" x14ac:dyDescent="0.25">
      <c r="A21" s="12">
        <v>46658</v>
      </c>
      <c r="B21" s="13">
        <v>28.45</v>
      </c>
      <c r="C21" s="13">
        <v>28.22</v>
      </c>
      <c r="D21" s="13">
        <v>26.25</v>
      </c>
      <c r="E21" s="13">
        <v>24.39</v>
      </c>
      <c r="F21" s="13">
        <v>22.67</v>
      </c>
      <c r="G21" s="13">
        <v>21.05</v>
      </c>
      <c r="H21" s="13">
        <v>19.52</v>
      </c>
      <c r="I21" s="13">
        <v>18.1</v>
      </c>
      <c r="J21" s="13">
        <v>16.81</v>
      </c>
      <c r="K21" s="13">
        <v>15.7</v>
      </c>
      <c r="L21" s="13">
        <v>14.73</v>
      </c>
      <c r="M21" s="13">
        <v>13.91</v>
      </c>
      <c r="N21" s="13">
        <v>13.26</v>
      </c>
      <c r="O21" s="13">
        <v>12.8</v>
      </c>
      <c r="P21" s="13">
        <v>12.51</v>
      </c>
      <c r="Q21" s="13">
        <v>12.41</v>
      </c>
      <c r="R21" s="13">
        <v>12.54</v>
      </c>
      <c r="S21" s="13">
        <v>12.78</v>
      </c>
      <c r="T21" s="13">
        <v>13.07</v>
      </c>
      <c r="U21" s="13">
        <v>13.4</v>
      </c>
      <c r="V21" s="13">
        <v>13.77</v>
      </c>
    </row>
    <row r="22" spans="1:22" x14ac:dyDescent="0.25">
      <c r="A22" s="12">
        <v>46749</v>
      </c>
      <c r="B22" s="13">
        <v>27.36</v>
      </c>
      <c r="C22" s="13">
        <v>27.57</v>
      </c>
      <c r="D22" s="13">
        <v>25.75</v>
      </c>
      <c r="E22" s="13">
        <v>24.06</v>
      </c>
      <c r="F22" s="13">
        <v>22.48</v>
      </c>
      <c r="G22" s="13">
        <v>21.01</v>
      </c>
      <c r="H22" s="13">
        <v>19.63</v>
      </c>
      <c r="I22" s="13">
        <v>18.33</v>
      </c>
      <c r="J22" s="13">
        <v>17.15</v>
      </c>
      <c r="K22" s="13">
        <v>16.09</v>
      </c>
      <c r="L22" s="13">
        <v>15.17</v>
      </c>
      <c r="M22" s="13">
        <v>14.37</v>
      </c>
      <c r="N22" s="13">
        <v>13.72</v>
      </c>
      <c r="O22" s="13">
        <v>13.22</v>
      </c>
      <c r="P22" s="13">
        <v>12.88</v>
      </c>
      <c r="Q22" s="13">
        <v>12.68</v>
      </c>
      <c r="R22" s="13">
        <v>12.64</v>
      </c>
      <c r="S22" s="13">
        <v>12.73</v>
      </c>
      <c r="T22" s="13">
        <v>12.91</v>
      </c>
      <c r="U22" s="13">
        <v>13.18</v>
      </c>
      <c r="V22" s="13">
        <v>13.51</v>
      </c>
    </row>
    <row r="23" spans="1:22" x14ac:dyDescent="0.25">
      <c r="A23" s="12">
        <v>46840</v>
      </c>
      <c r="B23" s="13">
        <v>26.78</v>
      </c>
      <c r="C23" s="13">
        <v>26.95</v>
      </c>
      <c r="D23" s="13">
        <v>25.27</v>
      </c>
      <c r="E23" s="13">
        <v>23.71</v>
      </c>
      <c r="F23" s="13">
        <v>22.27</v>
      </c>
      <c r="G23" s="13">
        <v>20.95</v>
      </c>
      <c r="H23" s="13">
        <v>19.71</v>
      </c>
      <c r="I23" s="13">
        <v>18.54</v>
      </c>
      <c r="J23" s="13">
        <v>17.45</v>
      </c>
      <c r="K23" s="13">
        <v>16.46</v>
      </c>
      <c r="L23" s="13">
        <v>15.58</v>
      </c>
      <c r="M23" s="13">
        <v>14.81</v>
      </c>
      <c r="N23" s="13">
        <v>14.15</v>
      </c>
      <c r="O23" s="13">
        <v>13.63</v>
      </c>
      <c r="P23" s="13">
        <v>13.25</v>
      </c>
      <c r="Q23" s="13">
        <v>12.99</v>
      </c>
      <c r="R23" s="13">
        <v>12.83</v>
      </c>
      <c r="S23" s="13">
        <v>12.76</v>
      </c>
      <c r="T23" s="13">
        <v>12.84</v>
      </c>
      <c r="U23" s="13">
        <v>13.01</v>
      </c>
      <c r="V23" s="13">
        <v>13.26</v>
      </c>
    </row>
    <row r="24" spans="1:22" x14ac:dyDescent="0.25">
      <c r="A24" s="12">
        <v>46931</v>
      </c>
      <c r="B24" s="13">
        <v>26.16</v>
      </c>
      <c r="C24" s="13">
        <v>26.49</v>
      </c>
      <c r="D24" s="13">
        <v>24.94</v>
      </c>
      <c r="E24" s="13">
        <v>23.5</v>
      </c>
      <c r="F24" s="13">
        <v>22.17</v>
      </c>
      <c r="G24" s="13">
        <v>20.96</v>
      </c>
      <c r="H24" s="13">
        <v>19.81</v>
      </c>
      <c r="I24" s="13">
        <v>18.7</v>
      </c>
      <c r="J24" s="13">
        <v>17.67</v>
      </c>
      <c r="K24" s="13">
        <v>16.72</v>
      </c>
      <c r="L24" s="13">
        <v>15.87</v>
      </c>
      <c r="M24" s="13">
        <v>15.13</v>
      </c>
      <c r="N24" s="13">
        <v>14.48</v>
      </c>
      <c r="O24" s="13">
        <v>13.95</v>
      </c>
      <c r="P24" s="13">
        <v>13.54</v>
      </c>
      <c r="Q24" s="13">
        <v>13.25</v>
      </c>
      <c r="R24" s="13">
        <v>13.06</v>
      </c>
      <c r="S24" s="13">
        <v>12.91</v>
      </c>
      <c r="T24" s="13">
        <v>12.87</v>
      </c>
      <c r="U24" s="13">
        <v>12.94</v>
      </c>
      <c r="V24" s="13">
        <v>13.11</v>
      </c>
    </row>
    <row r="25" spans="1:22" x14ac:dyDescent="0.25">
      <c r="A25" s="12">
        <v>47113</v>
      </c>
      <c r="B25" s="13">
        <v>25.55</v>
      </c>
      <c r="C25" s="13">
        <v>26.02</v>
      </c>
      <c r="D25" s="13">
        <v>24.74</v>
      </c>
      <c r="E25" s="13">
        <v>23.52</v>
      </c>
      <c r="F25" s="13">
        <v>22.38</v>
      </c>
      <c r="G25" s="13">
        <v>21.29</v>
      </c>
      <c r="H25" s="13">
        <v>20.27</v>
      </c>
      <c r="I25" s="13">
        <v>19.28</v>
      </c>
      <c r="J25" s="13">
        <v>18.34</v>
      </c>
      <c r="K25" s="13">
        <v>17.46</v>
      </c>
      <c r="L25" s="13">
        <v>16.65</v>
      </c>
      <c r="M25" s="13">
        <v>15.93</v>
      </c>
      <c r="N25" s="13">
        <v>15.29</v>
      </c>
      <c r="O25" s="13">
        <v>14.74</v>
      </c>
      <c r="P25" s="13">
        <v>14.28</v>
      </c>
      <c r="Q25" s="13">
        <v>13.91</v>
      </c>
      <c r="R25" s="13">
        <v>13.63</v>
      </c>
      <c r="S25" s="13">
        <v>13.43</v>
      </c>
      <c r="T25" s="13">
        <v>13.27</v>
      </c>
      <c r="U25" s="13">
        <v>13.18</v>
      </c>
      <c r="V25" s="13">
        <v>13.16</v>
      </c>
    </row>
    <row r="26" spans="1:22" x14ac:dyDescent="0.25">
      <c r="A26" s="12">
        <v>47295</v>
      </c>
      <c r="B26" s="13">
        <v>25.1</v>
      </c>
      <c r="C26" s="13">
        <v>25.71</v>
      </c>
      <c r="D26" s="13">
        <v>24.56</v>
      </c>
      <c r="E26" s="13">
        <v>23.47</v>
      </c>
      <c r="F26" s="13">
        <v>22.43</v>
      </c>
      <c r="G26" s="13">
        <v>21.44</v>
      </c>
      <c r="H26" s="13">
        <v>20.5</v>
      </c>
      <c r="I26" s="13">
        <v>19.6</v>
      </c>
      <c r="J26" s="13">
        <v>18.74</v>
      </c>
      <c r="K26" s="13">
        <v>17.93</v>
      </c>
      <c r="L26" s="13">
        <v>17.17</v>
      </c>
      <c r="M26" s="13">
        <v>16.48</v>
      </c>
      <c r="N26" s="13">
        <v>15.86</v>
      </c>
      <c r="O26" s="13">
        <v>15.31</v>
      </c>
      <c r="P26" s="13">
        <v>14.84</v>
      </c>
      <c r="Q26" s="13">
        <v>14.43</v>
      </c>
      <c r="R26" s="13">
        <v>14.1</v>
      </c>
      <c r="S26" s="13">
        <v>13.85</v>
      </c>
      <c r="T26" s="13">
        <v>13.64</v>
      </c>
      <c r="U26" s="13">
        <v>13.49</v>
      </c>
      <c r="V26" s="13">
        <v>13.39</v>
      </c>
    </row>
    <row r="27" spans="1:22" x14ac:dyDescent="0.25">
      <c r="A27" s="12">
        <v>47476</v>
      </c>
      <c r="B27" s="13">
        <v>24.52</v>
      </c>
      <c r="C27" s="13">
        <v>25.74</v>
      </c>
      <c r="D27" s="13">
        <v>24.69</v>
      </c>
      <c r="E27" s="13">
        <v>23.68</v>
      </c>
      <c r="F27" s="13">
        <v>22.71</v>
      </c>
      <c r="G27" s="13">
        <v>21.78</v>
      </c>
      <c r="H27" s="13">
        <v>20.88</v>
      </c>
      <c r="I27" s="13">
        <v>20.02</v>
      </c>
      <c r="J27" s="13">
        <v>19.2</v>
      </c>
      <c r="K27" s="13">
        <v>18.42</v>
      </c>
      <c r="L27" s="13">
        <v>17.69</v>
      </c>
      <c r="M27" s="13">
        <v>17.02</v>
      </c>
      <c r="N27" s="13">
        <v>16.41</v>
      </c>
      <c r="O27" s="13">
        <v>15.85</v>
      </c>
      <c r="P27" s="13">
        <v>15.35</v>
      </c>
      <c r="Q27" s="13">
        <v>14.92</v>
      </c>
      <c r="R27" s="13">
        <v>14.55</v>
      </c>
      <c r="S27" s="13">
        <v>14.26</v>
      </c>
      <c r="T27" s="13">
        <v>13.99</v>
      </c>
      <c r="U27" s="13">
        <v>13.79</v>
      </c>
      <c r="V27" s="13">
        <v>13.65</v>
      </c>
    </row>
    <row r="28" spans="1:22" x14ac:dyDescent="0.25">
      <c r="A28" s="12">
        <v>47846</v>
      </c>
      <c r="B28" s="13">
        <v>28.46</v>
      </c>
      <c r="C28" s="13">
        <v>25.74</v>
      </c>
      <c r="D28" s="13">
        <v>24.69</v>
      </c>
      <c r="E28" s="13">
        <v>23.68</v>
      </c>
      <c r="F28" s="13">
        <v>22.71</v>
      </c>
      <c r="G28" s="13">
        <v>21.78</v>
      </c>
      <c r="H28" s="13">
        <v>20.88</v>
      </c>
      <c r="I28" s="13">
        <v>20.02</v>
      </c>
      <c r="J28" s="13">
        <v>19.2</v>
      </c>
      <c r="K28" s="13">
        <v>18.42</v>
      </c>
      <c r="L28" s="13">
        <v>17.69</v>
      </c>
      <c r="M28" s="13">
        <v>17.02</v>
      </c>
      <c r="N28" s="13">
        <v>16.41</v>
      </c>
      <c r="O28" s="13">
        <v>15.85</v>
      </c>
      <c r="P28" s="13">
        <v>15.35</v>
      </c>
      <c r="Q28" s="13">
        <v>14.92</v>
      </c>
      <c r="R28" s="13">
        <v>14.55</v>
      </c>
      <c r="S28" s="13">
        <v>14.26</v>
      </c>
      <c r="T28" s="13">
        <v>13.99</v>
      </c>
      <c r="U28" s="13">
        <v>13.79</v>
      </c>
      <c r="V28" s="13">
        <v>13.65</v>
      </c>
    </row>
    <row r="29" spans="1:22" x14ac:dyDescent="0.25">
      <c r="A29" s="12">
        <v>47878</v>
      </c>
      <c r="B29" s="13">
        <v>28.46</v>
      </c>
      <c r="C29" s="13">
        <v>25.74</v>
      </c>
      <c r="D29" s="13">
        <v>24.69</v>
      </c>
      <c r="E29" s="13">
        <v>23.68</v>
      </c>
      <c r="F29" s="13">
        <v>22.71</v>
      </c>
      <c r="G29" s="13">
        <v>21.78</v>
      </c>
      <c r="H29" s="13">
        <v>20.88</v>
      </c>
      <c r="I29" s="13">
        <v>20.02</v>
      </c>
      <c r="J29" s="13">
        <v>19.2</v>
      </c>
      <c r="K29" s="13">
        <v>18.42</v>
      </c>
      <c r="L29" s="13">
        <v>17.69</v>
      </c>
      <c r="M29" s="13">
        <v>17.02</v>
      </c>
      <c r="N29" s="13">
        <v>16.41</v>
      </c>
      <c r="O29" s="13">
        <v>15.85</v>
      </c>
      <c r="P29" s="13">
        <v>15.35</v>
      </c>
      <c r="Q29" s="13">
        <v>14.92</v>
      </c>
      <c r="R29" s="13">
        <v>14.55</v>
      </c>
      <c r="S29" s="13">
        <v>14.26</v>
      </c>
      <c r="T29" s="13">
        <v>13.99</v>
      </c>
      <c r="U29" s="13">
        <v>13.79</v>
      </c>
      <c r="V29" s="13">
        <v>13.65</v>
      </c>
    </row>
    <row r="30" spans="1:22" x14ac:dyDescent="0.25">
      <c r="A30" s="12">
        <v>47962</v>
      </c>
      <c r="B30" s="13">
        <v>28.46</v>
      </c>
      <c r="C30" s="13">
        <v>25.74</v>
      </c>
      <c r="D30" s="13">
        <v>24.69</v>
      </c>
      <c r="E30" s="13">
        <v>23.68</v>
      </c>
      <c r="F30" s="13">
        <v>22.71</v>
      </c>
      <c r="G30" s="13">
        <v>21.78</v>
      </c>
      <c r="H30" s="13">
        <v>20.88</v>
      </c>
      <c r="I30" s="13">
        <v>20.02</v>
      </c>
      <c r="J30" s="13">
        <v>19.2</v>
      </c>
      <c r="K30" s="13">
        <v>18.42</v>
      </c>
      <c r="L30" s="13">
        <v>17.69</v>
      </c>
      <c r="M30" s="13">
        <v>17.02</v>
      </c>
      <c r="N30" s="13">
        <v>16.41</v>
      </c>
      <c r="O30" s="13">
        <v>15.85</v>
      </c>
      <c r="P30" s="13">
        <v>15.35</v>
      </c>
      <c r="Q30" s="13">
        <v>14.92</v>
      </c>
      <c r="R30" s="13">
        <v>14.55</v>
      </c>
      <c r="S30" s="13">
        <v>14.26</v>
      </c>
      <c r="T30" s="13">
        <v>13.99</v>
      </c>
      <c r="U30" s="13">
        <v>13.79</v>
      </c>
      <c r="V30" s="13">
        <v>13.65</v>
      </c>
    </row>
  </sheetData>
  <mergeCells count="4">
    <mergeCell ref="A4:V4"/>
    <mergeCell ref="A5:V5"/>
    <mergeCell ref="A6:V6"/>
    <mergeCell ref="A7:V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6" customWidth="1"/>
    <col min="3" max="6" width="14" customWidth="1"/>
  </cols>
  <sheetData>
    <row r="1" ht="30" customHeight="1" spans="1:8" x14ac:dyDescent="0.25">
      <c r="A1" s="1"/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6" customHeight="1" spans="1:8" x14ac:dyDescent="0.25">
      <c r="A3" s="1"/>
      <c r="B3" s="1"/>
      <c r="C3" s="1"/>
      <c r="D3" s="1"/>
      <c r="E3" s="1"/>
      <c r="F3" s="1"/>
      <c r="G3" s="1"/>
      <c r="H3" s="1"/>
    </row>
    <row r="4" ht="5" customHeight="1" spans="1:8" x14ac:dyDescent="0.25">
      <c r="A4" s="2"/>
      <c r="B4" s="2"/>
      <c r="C4" s="2"/>
      <c r="D4" s="2"/>
      <c r="E4" s="2"/>
      <c r="F4" s="2"/>
      <c r="G4" s="2"/>
      <c r="H4" s="2"/>
    </row>
    <row r="5" ht="36" customHeight="1" spans="1:8" x14ac:dyDescent="0.25">
      <c r="A5" s="3" t="s">
        <v>8</v>
      </c>
      <c r="B5" s="3"/>
      <c r="C5" s="3"/>
      <c r="D5" s="3"/>
      <c r="E5" s="3"/>
      <c r="F5" s="3"/>
      <c r="G5" s="3"/>
      <c r="H5" s="3"/>
    </row>
    <row r="6" ht="22" customHeight="1" spans="1:8" x14ac:dyDescent="0.25">
      <c r="A6" s="4" t="s">
        <v>9</v>
      </c>
      <c r="B6" s="4"/>
      <c r="C6" s="4"/>
      <c r="D6" s="4"/>
      <c r="E6" s="4"/>
      <c r="F6" s="4"/>
      <c r="G6" s="4"/>
      <c r="H6" s="4"/>
    </row>
    <row r="7" ht="16" customHeight="1" spans="1:8" x14ac:dyDescent="0.25">
      <c r="A7" s="5" t="s">
        <v>2</v>
      </c>
      <c r="B7" s="5"/>
      <c r="C7" s="5"/>
      <c r="D7" s="5"/>
      <c r="E7" s="5"/>
      <c r="F7" s="5"/>
      <c r="G7" s="5"/>
      <c r="H7" s="5"/>
    </row>
    <row r="8" ht="8" customHeight="1" x14ac:dyDescent="0.25"/>
    <row r="9" spans="1:2" x14ac:dyDescent="0.25">
      <c r="A9" s="6" t="s">
        <v>10</v>
      </c>
      <c r="B9" s="6" t="s">
        <v>11</v>
      </c>
    </row>
    <row r="10" spans="1:2" x14ac:dyDescent="0.25">
      <c r="A10" s="8" t="s">
        <v>12</v>
      </c>
      <c r="B10" s="14" t="s">
        <v>13</v>
      </c>
    </row>
    <row r="11" spans="1:2" x14ac:dyDescent="0.25">
      <c r="A11" s="8" t="s">
        <v>14</v>
      </c>
      <c r="B11" s="10">
        <v>23995.95</v>
      </c>
    </row>
    <row r="12" spans="1:2" x14ac:dyDescent="0.25">
      <c r="A12" s="8" t="s">
        <v>15</v>
      </c>
      <c r="B12" s="10">
        <v>76835.78</v>
      </c>
    </row>
    <row r="13" spans="1:2" x14ac:dyDescent="0.25">
      <c r="A13" s="8" t="s">
        <v>16</v>
      </c>
      <c r="B13" s="15">
        <v>0</v>
      </c>
    </row>
    <row r="14" spans="1:2" x14ac:dyDescent="0.25">
      <c r="A14" s="8" t="s">
        <v>17</v>
      </c>
      <c r="B14" s="15">
        <v>0.055</v>
      </c>
    </row>
    <row r="15" spans="1:2" x14ac:dyDescent="0.25">
      <c r="A15" s="8" t="s">
        <v>18</v>
      </c>
      <c r="B15" s="15">
        <v>0.068</v>
      </c>
    </row>
    <row r="16" spans="1:2" x14ac:dyDescent="0.25">
      <c r="A16" s="8" t="s">
        <v>19</v>
      </c>
      <c r="B16" s="13">
        <v>1</v>
      </c>
    </row>
    <row r="19" spans="1:6" x14ac:dyDescent="0.25">
      <c r="A19" s="6" t="s">
        <v>20</v>
      </c>
      <c r="B19" s="6" t="s">
        <v>21</v>
      </c>
      <c r="C19" s="6" t="s">
        <v>22</v>
      </c>
      <c r="D19" s="6" t="s">
        <v>23</v>
      </c>
      <c r="E19" s="6" t="s">
        <v>24</v>
      </c>
      <c r="F19" s="6" t="s">
        <v>25</v>
      </c>
    </row>
    <row r="20" spans="1:6" x14ac:dyDescent="0.25">
      <c r="A20" s="12">
        <v>43916</v>
      </c>
      <c r="B20" s="15">
        <v>0</v>
      </c>
      <c r="C20" s="15">
        <v>0.0050000000000000044</v>
      </c>
      <c r="D20" s="15">
        <v>0.065</v>
      </c>
      <c r="E20" s="15">
        <v>0.03</v>
      </c>
      <c r="F20" s="15">
        <v>0</v>
      </c>
    </row>
    <row r="21" spans="1:6" x14ac:dyDescent="0.25">
      <c r="A21" s="12">
        <v>44007</v>
      </c>
      <c r="B21" s="15">
        <v>0</v>
      </c>
      <c r="C21" s="15">
        <v>0.0050000000000000044</v>
      </c>
      <c r="D21" s="15">
        <v>0.065</v>
      </c>
      <c r="E21" s="15">
        <v>0.03</v>
      </c>
      <c r="F21" s="15">
        <v>0</v>
      </c>
    </row>
    <row r="22" spans="1:6" x14ac:dyDescent="0.25">
      <c r="A22" s="12">
        <v>44042</v>
      </c>
      <c r="B22" s="15">
        <v>0</v>
      </c>
      <c r="C22" s="15">
        <v>0.0050000000000000044</v>
      </c>
      <c r="D22" s="15">
        <v>0.065</v>
      </c>
      <c r="E22" s="15">
        <v>0.03</v>
      </c>
      <c r="F22" s="15">
        <v>0</v>
      </c>
    </row>
    <row r="23" spans="1:6" x14ac:dyDescent="0.25">
      <c r="A23" s="12">
        <v>44070</v>
      </c>
      <c r="B23" s="15">
        <v>0</v>
      </c>
      <c r="C23" s="15">
        <v>0.0050000000000000044</v>
      </c>
      <c r="D23" s="15">
        <v>0.065</v>
      </c>
      <c r="E23" s="15">
        <v>0.03</v>
      </c>
      <c r="F23" s="15">
        <v>0.001</v>
      </c>
    </row>
    <row r="24" spans="1:6" x14ac:dyDescent="0.25">
      <c r="A24" s="12">
        <v>44098</v>
      </c>
      <c r="B24" s="15">
        <v>0</v>
      </c>
      <c r="C24" s="15">
        <v>0.0050000000000000044</v>
      </c>
      <c r="D24" s="15">
        <v>0.065</v>
      </c>
      <c r="E24" s="15">
        <v>0.03</v>
      </c>
      <c r="F24" s="15">
        <v>0.001</v>
      </c>
    </row>
    <row r="25" spans="1:6" x14ac:dyDescent="0.25">
      <c r="A25" s="12">
        <v>44133</v>
      </c>
      <c r="B25" s="15">
        <v>0</v>
      </c>
      <c r="C25" s="15">
        <v>0.0050000000000000044</v>
      </c>
      <c r="D25" s="15">
        <v>0.065</v>
      </c>
      <c r="E25" s="15">
        <v>0.03</v>
      </c>
      <c r="F25" s="15">
        <v>0.006</v>
      </c>
    </row>
    <row r="26" spans="1:6" x14ac:dyDescent="0.25">
      <c r="A26" s="12">
        <v>44160</v>
      </c>
      <c r="B26" s="15">
        <v>0</v>
      </c>
      <c r="C26" s="15">
        <v>0.0050000000000000044</v>
      </c>
      <c r="D26" s="15">
        <v>0.065</v>
      </c>
      <c r="E26" s="15">
        <v>0.03</v>
      </c>
      <c r="F26" s="15">
        <v>0.006</v>
      </c>
    </row>
    <row r="27" spans="1:6" x14ac:dyDescent="0.25">
      <c r="A27" s="12">
        <v>44196</v>
      </c>
      <c r="B27" s="15">
        <v>0</v>
      </c>
      <c r="C27" s="15">
        <v>0.0050000000000000044</v>
      </c>
      <c r="D27" s="15">
        <v>0.065</v>
      </c>
      <c r="E27" s="15">
        <v>0.03</v>
      </c>
      <c r="F27" s="15">
        <v>0.0085</v>
      </c>
    </row>
    <row r="28" spans="1:6" x14ac:dyDescent="0.25">
      <c r="A28" s="12">
        <v>44224</v>
      </c>
      <c r="B28" s="15">
        <v>0</v>
      </c>
      <c r="C28" s="15">
        <v>0.0050000000000000044</v>
      </c>
      <c r="D28" s="15">
        <v>0.065</v>
      </c>
      <c r="E28" s="15">
        <v>0.03</v>
      </c>
      <c r="F28" s="15">
        <v>0.0085</v>
      </c>
    </row>
    <row r="29" spans="1:6" x14ac:dyDescent="0.25">
      <c r="A29" s="12">
        <v>44252</v>
      </c>
      <c r="B29" s="15">
        <v>0</v>
      </c>
      <c r="C29" s="15">
        <v>0.0050000000000000044</v>
      </c>
      <c r="D29" s="15">
        <v>0.065</v>
      </c>
      <c r="E29" s="15">
        <v>0.03</v>
      </c>
      <c r="F29" s="15">
        <v>0.0085</v>
      </c>
    </row>
    <row r="30" spans="1:6" x14ac:dyDescent="0.25">
      <c r="A30" s="12">
        <v>44280</v>
      </c>
      <c r="B30" s="15">
        <v>0</v>
      </c>
      <c r="C30" s="15">
        <v>0.0050000000000000044</v>
      </c>
      <c r="D30" s="15">
        <v>0.065</v>
      </c>
      <c r="E30" s="15">
        <v>0.03</v>
      </c>
      <c r="F30" s="15">
        <v>0.031</v>
      </c>
    </row>
    <row r="31" spans="1:6" x14ac:dyDescent="0.25">
      <c r="A31" s="12">
        <v>44315</v>
      </c>
      <c r="B31" s="15">
        <v>0</v>
      </c>
      <c r="C31" s="15">
        <v>0.011930693069306941</v>
      </c>
      <c r="D31" s="15">
        <v>0.07193069306930694</v>
      </c>
      <c r="E31" s="15">
        <v>0.03</v>
      </c>
      <c r="F31" s="15">
        <v>0.031</v>
      </c>
    </row>
    <row r="32" spans="1:6" x14ac:dyDescent="0.25">
      <c r="A32" s="12">
        <v>44343</v>
      </c>
      <c r="B32" s="15">
        <v>0</v>
      </c>
      <c r="C32" s="15">
        <v>0.01726586102719034</v>
      </c>
      <c r="D32" s="15">
        <v>0.07726586102719034</v>
      </c>
      <c r="E32" s="15">
        <v>0.03</v>
      </c>
      <c r="F32" s="15">
        <v>0.031</v>
      </c>
    </row>
    <row r="33" spans="1:6" x14ac:dyDescent="0.25">
      <c r="A33" s="12">
        <v>44371</v>
      </c>
      <c r="B33" s="15">
        <v>0</v>
      </c>
      <c r="C33" s="15">
        <v>0.021768802228412265</v>
      </c>
      <c r="D33" s="15">
        <v>0.08176880222841226</v>
      </c>
      <c r="E33" s="15">
        <v>0.03</v>
      </c>
      <c r="F33" s="15">
        <v>0.0345</v>
      </c>
    </row>
    <row r="34" spans="1:6" x14ac:dyDescent="0.25">
      <c r="A34" s="12">
        <v>44406</v>
      </c>
      <c r="B34" s="15">
        <v>0</v>
      </c>
      <c r="C34" s="15">
        <v>0.026497461928934013</v>
      </c>
      <c r="D34" s="15">
        <v>0.08649746192893401</v>
      </c>
      <c r="E34" s="15">
        <v>0.03</v>
      </c>
      <c r="F34" s="15">
        <v>0.0345</v>
      </c>
    </row>
    <row r="35" spans="1:6" x14ac:dyDescent="0.25">
      <c r="A35" s="12">
        <v>44434</v>
      </c>
      <c r="B35" s="15">
        <v>0</v>
      </c>
      <c r="C35" s="15">
        <v>0.029715639810426547</v>
      </c>
      <c r="D35" s="15">
        <v>0.08971563981042655</v>
      </c>
      <c r="E35" s="15">
        <v>0.03</v>
      </c>
      <c r="F35" s="15">
        <v>0.0345</v>
      </c>
    </row>
    <row r="36" spans="1:6" x14ac:dyDescent="0.25">
      <c r="A36" s="12">
        <v>44469</v>
      </c>
      <c r="B36" s="15">
        <v>0</v>
      </c>
      <c r="C36" s="15">
        <v>0.033183807439824964</v>
      </c>
      <c r="D36" s="15">
        <v>0.09318380743982496</v>
      </c>
      <c r="E36" s="15">
        <v>0.03</v>
      </c>
      <c r="F36" s="15">
        <v>0.0345</v>
      </c>
    </row>
    <row r="37" spans="1:6" x14ac:dyDescent="0.25">
      <c r="A37" s="12">
        <v>44497</v>
      </c>
      <c r="B37" s="15">
        <v>0</v>
      </c>
      <c r="C37" s="15">
        <v>0.035597938144329905</v>
      </c>
      <c r="D37" s="15">
        <v>0.0955979381443299</v>
      </c>
      <c r="E37" s="15">
        <v>0.03</v>
      </c>
      <c r="F37" s="15">
        <v>0.0345</v>
      </c>
    </row>
    <row r="38" spans="1:6" x14ac:dyDescent="0.25">
      <c r="A38" s="12">
        <v>44525</v>
      </c>
      <c r="B38" s="15">
        <v>0</v>
      </c>
      <c r="C38" s="15">
        <v>0.037748538011695934</v>
      </c>
      <c r="D38" s="15">
        <v>0.09774853801169593</v>
      </c>
      <c r="E38" s="15">
        <v>0.03</v>
      </c>
      <c r="F38" s="15">
        <v>0.0345</v>
      </c>
    </row>
    <row r="39" spans="1:6" x14ac:dyDescent="0.25">
      <c r="A39" s="12">
        <v>44560</v>
      </c>
      <c r="B39" s="15">
        <v>0</v>
      </c>
      <c r="C39" s="15">
        <v>0.04012773722627738</v>
      </c>
      <c r="D39" s="15">
        <v>0.10012773722627738</v>
      </c>
      <c r="E39" s="15">
        <v>0.03</v>
      </c>
      <c r="F39" s="15">
        <v>0.037000000000000005</v>
      </c>
    </row>
    <row r="40" spans="1:6" x14ac:dyDescent="0.25">
      <c r="A40" s="12">
        <v>44588</v>
      </c>
      <c r="B40" s="15">
        <v>0</v>
      </c>
      <c r="C40" s="15">
        <v>0.04182291666666668</v>
      </c>
      <c r="D40" s="15">
        <v>0.10182291666666668</v>
      </c>
      <c r="E40" s="15">
        <v>0.03</v>
      </c>
      <c r="F40" s="15">
        <v>0.037000000000000005</v>
      </c>
    </row>
    <row r="41" spans="1:6" x14ac:dyDescent="0.25">
      <c r="A41" s="12">
        <v>44616</v>
      </c>
      <c r="B41" s="15">
        <v>0</v>
      </c>
      <c r="C41" s="15">
        <v>0.04336092715231789</v>
      </c>
      <c r="D41" s="15">
        <v>0.10336092715231789</v>
      </c>
      <c r="E41" s="15">
        <v>0.03</v>
      </c>
      <c r="F41" s="15">
        <v>0.037000000000000005</v>
      </c>
    </row>
    <row r="42" spans="1:6" x14ac:dyDescent="0.25">
      <c r="A42" s="12">
        <v>44651</v>
      </c>
      <c r="B42" s="15">
        <v>0</v>
      </c>
      <c r="C42" s="15">
        <v>0.04509389671361502</v>
      </c>
      <c r="D42" s="15">
        <v>0.10509389671361502</v>
      </c>
      <c r="E42" s="15">
        <v>0.03</v>
      </c>
      <c r="F42" s="15">
        <v>0.037000000000000005</v>
      </c>
    </row>
    <row r="43" spans="1:6" x14ac:dyDescent="0.25">
      <c r="A43" s="12">
        <v>44679</v>
      </c>
      <c r="B43" s="15">
        <v>0</v>
      </c>
      <c r="C43" s="15">
        <v>0.04634932533733134</v>
      </c>
      <c r="D43" s="15">
        <v>0.10634932533733134</v>
      </c>
      <c r="E43" s="15">
        <v>0.03</v>
      </c>
      <c r="F43" s="15">
        <v>0.037000000000000005</v>
      </c>
    </row>
    <row r="44" spans="1:6" x14ac:dyDescent="0.25">
      <c r="A44" s="12">
        <v>44707</v>
      </c>
      <c r="B44" s="15">
        <v>0</v>
      </c>
      <c r="C44" s="15">
        <v>0.04750359712230216</v>
      </c>
      <c r="D44" s="15">
        <v>0.10750359712230216</v>
      </c>
      <c r="E44" s="15">
        <v>0.03</v>
      </c>
      <c r="F44" s="15">
        <v>0.037000000000000005</v>
      </c>
    </row>
    <row r="45" spans="1:6" x14ac:dyDescent="0.25">
      <c r="A45" s="12">
        <v>44742</v>
      </c>
      <c r="B45" s="15">
        <v>0</v>
      </c>
      <c r="C45" s="15">
        <v>0.04882191780821919</v>
      </c>
      <c r="D45" s="15">
        <v>0.10882191780821919</v>
      </c>
      <c r="E45" s="15">
        <v>0.03</v>
      </c>
      <c r="F45" s="15">
        <v>0.0385</v>
      </c>
    </row>
    <row r="46" spans="1:6" x14ac:dyDescent="0.25">
      <c r="A46" s="12">
        <v>44770</v>
      </c>
      <c r="B46" s="15">
        <v>0</v>
      </c>
      <c r="C46" s="15">
        <v>0.049788918205804764</v>
      </c>
      <c r="D46" s="15">
        <v>0.10978891820580476</v>
      </c>
      <c r="E46" s="15">
        <v>0.03</v>
      </c>
      <c r="F46" s="15">
        <v>0.0385</v>
      </c>
    </row>
    <row r="47" spans="1:6" x14ac:dyDescent="0.25">
      <c r="A47" s="12">
        <v>44798</v>
      </c>
      <c r="B47" s="15">
        <v>0</v>
      </c>
      <c r="C47" s="15">
        <v>0.05068702290076338</v>
      </c>
      <c r="D47" s="15">
        <v>0.11068702290076338</v>
      </c>
      <c r="E47" s="15">
        <v>0.03</v>
      </c>
      <c r="F47" s="15">
        <v>0.0385</v>
      </c>
    </row>
    <row r="48" spans="1:6" x14ac:dyDescent="0.25">
      <c r="A48" s="12">
        <v>44833</v>
      </c>
      <c r="B48" s="15">
        <v>0</v>
      </c>
      <c r="C48" s="15">
        <v>0.051723507917174186</v>
      </c>
      <c r="D48" s="15">
        <v>0.11172350791717418</v>
      </c>
      <c r="E48" s="15">
        <v>0.03</v>
      </c>
      <c r="F48" s="15">
        <v>0.0385</v>
      </c>
    </row>
    <row r="49" spans="1:6" x14ac:dyDescent="0.25">
      <c r="A49" s="12">
        <v>44861</v>
      </c>
      <c r="B49" s="15">
        <v>0</v>
      </c>
      <c r="C49" s="15">
        <v>0.05249116607773853</v>
      </c>
      <c r="D49" s="15">
        <v>0.11249116607773853</v>
      </c>
      <c r="E49" s="15">
        <v>0.03</v>
      </c>
      <c r="F49" s="15">
        <v>0.0385</v>
      </c>
    </row>
    <row r="50" spans="1:6" x14ac:dyDescent="0.25">
      <c r="A50" s="12">
        <v>44889</v>
      </c>
      <c r="B50" s="15">
        <v>0</v>
      </c>
      <c r="C50" s="15">
        <v>0.05320980615735463</v>
      </c>
      <c r="D50" s="15">
        <v>0.11320980615735463</v>
      </c>
      <c r="E50" s="15">
        <v>0.03</v>
      </c>
      <c r="F50" s="15">
        <v>0.0385</v>
      </c>
    </row>
    <row r="51" spans="1:6" x14ac:dyDescent="0.25">
      <c r="A51" s="12">
        <v>44924</v>
      </c>
      <c r="B51" s="15">
        <v>0</v>
      </c>
      <c r="C51" s="15">
        <v>0.05404605263157895</v>
      </c>
      <c r="D51" s="15">
        <v>0.11404605263157895</v>
      </c>
      <c r="E51" s="15">
        <v>0.03</v>
      </c>
      <c r="F51" s="15">
        <v>0.0395</v>
      </c>
    </row>
    <row r="52" spans="1:6" x14ac:dyDescent="0.25">
      <c r="A52" s="12">
        <v>44951</v>
      </c>
      <c r="B52" s="15">
        <v>0</v>
      </c>
      <c r="C52" s="15">
        <v>0.0546485623003195</v>
      </c>
      <c r="D52" s="15">
        <v>0.1146485623003195</v>
      </c>
      <c r="E52" s="15">
        <v>0.03</v>
      </c>
      <c r="F52" s="15">
        <v>0.0395</v>
      </c>
    </row>
    <row r="53" spans="1:6" x14ac:dyDescent="0.25">
      <c r="A53" s="12">
        <v>44980</v>
      </c>
      <c r="B53" s="15">
        <v>0</v>
      </c>
      <c r="C53" s="15">
        <v>0.05525826446280993</v>
      </c>
      <c r="D53" s="15">
        <v>0.11525826446280993</v>
      </c>
      <c r="E53" s="15">
        <v>0.03</v>
      </c>
      <c r="F53" s="15">
        <v>0.0395</v>
      </c>
    </row>
    <row r="54" spans="1:6" x14ac:dyDescent="0.25">
      <c r="A54" s="12">
        <v>45015</v>
      </c>
      <c r="B54" s="15">
        <v>0</v>
      </c>
      <c r="C54" s="15">
        <v>0.055947158524426735</v>
      </c>
      <c r="D54" s="15">
        <v>0.11594715852442673</v>
      </c>
      <c r="E54" s="15">
        <v>0.03</v>
      </c>
      <c r="F54" s="15">
        <v>0.0395</v>
      </c>
    </row>
    <row r="55" spans="1:6" x14ac:dyDescent="0.25">
      <c r="A55" s="12">
        <v>45043</v>
      </c>
      <c r="B55" s="15">
        <v>0</v>
      </c>
      <c r="C55" s="15">
        <v>0.056464597478176545</v>
      </c>
      <c r="D55" s="15">
        <v>0.11646459747817654</v>
      </c>
      <c r="E55" s="15">
        <v>0.03</v>
      </c>
      <c r="F55" s="15">
        <v>0.0395</v>
      </c>
    </row>
    <row r="56" spans="1:6" x14ac:dyDescent="0.25">
      <c r="A56" s="12">
        <v>45071</v>
      </c>
      <c r="B56" s="15">
        <v>0</v>
      </c>
      <c r="C56" s="15">
        <v>0.05695467422096319</v>
      </c>
      <c r="D56" s="15">
        <v>0.11695467422096319</v>
      </c>
      <c r="E56" s="15">
        <v>0.03</v>
      </c>
      <c r="F56" s="15">
        <v>0.0395</v>
      </c>
    </row>
    <row r="57" spans="1:6" x14ac:dyDescent="0.25">
      <c r="A57" s="12">
        <v>45106</v>
      </c>
      <c r="B57" s="15">
        <v>0</v>
      </c>
      <c r="C57" s="15">
        <v>0.05746788990825688</v>
      </c>
      <c r="D57" s="15">
        <v>0.11746788990825688</v>
      </c>
      <c r="E57" s="15">
        <v>0.03</v>
      </c>
      <c r="F57" s="15">
        <v>0.0445</v>
      </c>
    </row>
    <row r="58" spans="1:6" x14ac:dyDescent="0.25">
      <c r="A58" s="12">
        <v>45134</v>
      </c>
      <c r="B58" s="15">
        <v>0</v>
      </c>
      <c r="C58" s="15">
        <v>0.05796791443850269</v>
      </c>
      <c r="D58" s="15">
        <v>0.11796791443850269</v>
      </c>
      <c r="E58" s="15">
        <v>0.03</v>
      </c>
      <c r="F58" s="15">
        <v>0.0445</v>
      </c>
    </row>
    <row r="59" spans="1:6" x14ac:dyDescent="0.25">
      <c r="A59" s="12">
        <v>45169</v>
      </c>
      <c r="B59" s="15">
        <v>0</v>
      </c>
      <c r="C59" s="15">
        <v>0.05848314606741574</v>
      </c>
      <c r="D59" s="15">
        <v>0.11848314606741574</v>
      </c>
      <c r="E59" s="15">
        <v>0.03</v>
      </c>
      <c r="F59" s="15">
        <v>0.0445</v>
      </c>
    </row>
    <row r="60" spans="1:6" x14ac:dyDescent="0.25">
      <c r="A60" s="12">
        <v>45197</v>
      </c>
      <c r="B60" s="15">
        <v>0</v>
      </c>
      <c r="C60" s="15">
        <v>0.058873417721518995</v>
      </c>
      <c r="D60" s="15">
        <v>0.11887341772151899</v>
      </c>
      <c r="E60" s="15">
        <v>0.03</v>
      </c>
      <c r="F60" s="15">
        <v>0.0445</v>
      </c>
    </row>
    <row r="61" spans="1:6" x14ac:dyDescent="0.25">
      <c r="A61" s="12">
        <v>45225</v>
      </c>
      <c r="B61" s="15">
        <v>0</v>
      </c>
      <c r="C61" s="15">
        <v>0.059245671887881296</v>
      </c>
      <c r="D61" s="15">
        <v>0.1192456718878813</v>
      </c>
      <c r="E61" s="15">
        <v>0.03</v>
      </c>
      <c r="F61" s="15">
        <v>0.0445</v>
      </c>
    </row>
    <row r="62" spans="1:6" x14ac:dyDescent="0.25">
      <c r="A62" s="12">
        <v>45260</v>
      </c>
      <c r="B62" s="15">
        <v>0</v>
      </c>
      <c r="C62" s="15">
        <v>0.059687500000000004</v>
      </c>
      <c r="D62" s="15">
        <v>0.1196875</v>
      </c>
      <c r="E62" s="15">
        <v>0.03</v>
      </c>
      <c r="F62" s="15">
        <v>0.0445</v>
      </c>
    </row>
    <row r="63" spans="1:6" x14ac:dyDescent="0.25">
      <c r="A63" s="12">
        <v>45288</v>
      </c>
      <c r="B63" s="15">
        <v>0</v>
      </c>
      <c r="C63" s="15">
        <v>0.060023510971786834</v>
      </c>
      <c r="D63" s="15">
        <v>0.12002351097178683</v>
      </c>
      <c r="E63" s="15">
        <v>0.03</v>
      </c>
      <c r="F63" s="15">
        <v>0.0445</v>
      </c>
    </row>
    <row r="64" spans="1:6" x14ac:dyDescent="0.25">
      <c r="A64" s="12">
        <v>45316</v>
      </c>
      <c r="B64" s="15">
        <v>0</v>
      </c>
      <c r="C64" s="15">
        <v>0.060023510971786834</v>
      </c>
      <c r="D64" s="15">
        <v>0.12002351097178683</v>
      </c>
      <c r="E64" s="15">
        <v>0.03</v>
      </c>
      <c r="F64" s="15">
        <v>0.0445</v>
      </c>
    </row>
    <row r="65" spans="1:6" x14ac:dyDescent="0.25">
      <c r="A65" s="12">
        <v>45351</v>
      </c>
      <c r="B65" s="15">
        <v>0</v>
      </c>
      <c r="C65" s="15">
        <v>0.060023510971786834</v>
      </c>
      <c r="D65" s="15">
        <v>0.12002351097178683</v>
      </c>
      <c r="E65" s="15">
        <v>0.03</v>
      </c>
      <c r="F65" s="15">
        <v>0.0445</v>
      </c>
    </row>
    <row r="66" spans="1:6" x14ac:dyDescent="0.25">
      <c r="A66" s="12">
        <v>45687</v>
      </c>
      <c r="B66" s="15">
        <v>0</v>
      </c>
      <c r="C66" s="15">
        <v>0.060023510971786834</v>
      </c>
      <c r="D66" s="15">
        <v>0.12002351097178683</v>
      </c>
      <c r="E66" s="15">
        <v>0.03</v>
      </c>
      <c r="F66" s="15">
        <v>0.0445</v>
      </c>
    </row>
    <row r="67" spans="1:6" x14ac:dyDescent="0.25">
      <c r="A67" s="12">
        <v>45715</v>
      </c>
      <c r="B67" s="15">
        <v>0</v>
      </c>
      <c r="C67" s="15">
        <v>0.060285605483625285</v>
      </c>
      <c r="D67" s="15">
        <v>0.12028560548362528</v>
      </c>
      <c r="E67" s="15">
        <v>0.03</v>
      </c>
      <c r="F67" s="15">
        <v>0.0445</v>
      </c>
    </row>
    <row r="68" spans="1:6" x14ac:dyDescent="0.25">
      <c r="A68" s="12">
        <v>45743</v>
      </c>
      <c r="B68" s="15">
        <v>0</v>
      </c>
      <c r="C68" s="15">
        <v>0.060285605483625285</v>
      </c>
      <c r="D68" s="15">
        <v>0.12028560548362528</v>
      </c>
      <c r="E68" s="15">
        <v>0.03</v>
      </c>
      <c r="F68" s="15">
        <v>0.0445</v>
      </c>
    </row>
    <row r="69" spans="1:6" x14ac:dyDescent="0.25">
      <c r="A69" s="12">
        <v>45771</v>
      </c>
      <c r="B69" s="15">
        <v>0</v>
      </c>
      <c r="C69" s="15">
        <v>0.060285605483625285</v>
      </c>
      <c r="D69" s="15">
        <v>0.12028560548362528</v>
      </c>
      <c r="E69" s="15">
        <v>0.03</v>
      </c>
      <c r="F69" s="15">
        <v>0.0445</v>
      </c>
    </row>
    <row r="70" spans="1:6" x14ac:dyDescent="0.25">
      <c r="A70" s="12">
        <v>45806</v>
      </c>
      <c r="B70" s="15">
        <v>0</v>
      </c>
      <c r="C70" s="15">
        <v>0.060285605483625285</v>
      </c>
      <c r="D70" s="15">
        <v>0.12028560548362528</v>
      </c>
      <c r="E70" s="15">
        <v>0.03</v>
      </c>
      <c r="F70" s="15">
        <v>0.0445</v>
      </c>
    </row>
    <row r="71" spans="1:6" x14ac:dyDescent="0.25">
      <c r="A71" s="12">
        <v>45834</v>
      </c>
      <c r="B71" s="15">
        <v>0</v>
      </c>
      <c r="C71" s="15">
        <v>0.060285605483625285</v>
      </c>
      <c r="D71" s="15">
        <v>0.12028560548362528</v>
      </c>
      <c r="E71" s="15">
        <v>0.03</v>
      </c>
      <c r="F71" s="15">
        <v>0.0445</v>
      </c>
    </row>
    <row r="72" spans="1:6" x14ac:dyDescent="0.25">
      <c r="A72" s="12">
        <v>45869</v>
      </c>
      <c r="B72" s="15">
        <v>0</v>
      </c>
      <c r="C72" s="15">
        <v>0.060285605483625285</v>
      </c>
      <c r="D72" s="15">
        <v>0.12028560548362528</v>
      </c>
      <c r="E72" s="15">
        <v>0.03</v>
      </c>
      <c r="F72" s="15">
        <v>0.0445</v>
      </c>
    </row>
    <row r="73" spans="1:6" x14ac:dyDescent="0.25">
      <c r="A73" s="12">
        <v>45897</v>
      </c>
      <c r="B73" s="15">
        <v>0</v>
      </c>
      <c r="C73" s="15">
        <v>0.060285605483625285</v>
      </c>
      <c r="D73" s="15">
        <v>0.12028560548362528</v>
      </c>
      <c r="E73" s="15">
        <v>0.03</v>
      </c>
      <c r="F73" s="15">
        <v>0.0445</v>
      </c>
    </row>
    <row r="74" spans="1:6" x14ac:dyDescent="0.25">
      <c r="A74" s="12">
        <v>45925</v>
      </c>
      <c r="B74" s="15">
        <v>0</v>
      </c>
      <c r="C74" s="15">
        <v>0.060285605483625285</v>
      </c>
      <c r="D74" s="15">
        <v>0.12028560548362528</v>
      </c>
      <c r="E74" s="15">
        <v>0.03</v>
      </c>
      <c r="F74" s="15">
        <v>0.0445</v>
      </c>
    </row>
    <row r="75" spans="1:6" x14ac:dyDescent="0.25">
      <c r="A75" s="12">
        <v>45960</v>
      </c>
      <c r="B75" s="15">
        <v>0</v>
      </c>
      <c r="C75" s="15">
        <v>0.060285605483625285</v>
      </c>
      <c r="D75" s="15">
        <v>0.12028560548362528</v>
      </c>
      <c r="E75" s="15">
        <v>0.03</v>
      </c>
      <c r="F75" s="15">
        <v>0.0445</v>
      </c>
    </row>
    <row r="76" spans="1:6" x14ac:dyDescent="0.25">
      <c r="A76" s="12">
        <v>45988</v>
      </c>
      <c r="B76" s="15">
        <v>0</v>
      </c>
      <c r="C76" s="15">
        <v>0.060285605483625285</v>
      </c>
      <c r="D76" s="15">
        <v>0.12028560548362528</v>
      </c>
      <c r="E76" s="15">
        <v>0.03</v>
      </c>
      <c r="F76" s="15">
        <v>0.0445</v>
      </c>
    </row>
    <row r="77" spans="1:6" x14ac:dyDescent="0.25">
      <c r="A77" s="12">
        <v>46015</v>
      </c>
      <c r="B77" s="15">
        <v>0</v>
      </c>
      <c r="C77" s="15">
        <v>0.060285605483625285</v>
      </c>
      <c r="D77" s="15">
        <v>0.12028560548362528</v>
      </c>
      <c r="E77" s="15">
        <v>0.03</v>
      </c>
      <c r="F77" s="15">
        <v>0.0445</v>
      </c>
    </row>
    <row r="78" spans="1:6" x14ac:dyDescent="0.25">
      <c r="A78" s="12">
        <v>46051</v>
      </c>
      <c r="B78" s="15">
        <v>0</v>
      </c>
      <c r="C78" s="15">
        <v>0.060285605483625285</v>
      </c>
      <c r="D78" s="15">
        <v>0.12028560548362528</v>
      </c>
      <c r="E78" s="15">
        <v>0.03</v>
      </c>
      <c r="F78" s="15">
        <v>0.0445</v>
      </c>
    </row>
    <row r="79" spans="1:6" x14ac:dyDescent="0.25">
      <c r="A79" s="12">
        <v>46079</v>
      </c>
      <c r="B79" s="15">
        <v>0</v>
      </c>
      <c r="C79" s="15">
        <v>0.060285605483625285</v>
      </c>
      <c r="D79" s="15">
        <v>0.12028560548362528</v>
      </c>
      <c r="E79" s="15">
        <v>0.03</v>
      </c>
      <c r="F79" s="15">
        <v>0.0445</v>
      </c>
    </row>
    <row r="80" spans="1:6" x14ac:dyDescent="0.25">
      <c r="A80" s="12">
        <v>46107</v>
      </c>
      <c r="B80" s="15">
        <v>0</v>
      </c>
      <c r="C80" s="15">
        <v>0.060285605483625285</v>
      </c>
      <c r="D80" s="15">
        <v>0.12028560548362528</v>
      </c>
      <c r="E80" s="15">
        <v>0.03</v>
      </c>
      <c r="F80" s="15">
        <v>0.0445</v>
      </c>
    </row>
    <row r="81" spans="1:6" x14ac:dyDescent="0.25">
      <c r="A81" s="12">
        <v>46142</v>
      </c>
      <c r="B81" s="15">
        <v>0</v>
      </c>
      <c r="C81" s="15">
        <v>0.060285605483625285</v>
      </c>
      <c r="D81" s="15">
        <v>0.12028560548362528</v>
      </c>
      <c r="E81" s="15">
        <v>0.03</v>
      </c>
      <c r="F81" s="15">
        <v>0.0445</v>
      </c>
    </row>
    <row r="82" spans="1:6" x14ac:dyDescent="0.25">
      <c r="A82" s="12">
        <v>46170</v>
      </c>
      <c r="B82" s="15">
        <v>0</v>
      </c>
      <c r="C82" s="15">
        <v>0.060285605483625285</v>
      </c>
      <c r="D82" s="15">
        <v>0.12028560548362528</v>
      </c>
      <c r="E82" s="15">
        <v>0.03</v>
      </c>
      <c r="F82" s="15">
        <v>0.0445</v>
      </c>
    </row>
    <row r="83" spans="1:6" x14ac:dyDescent="0.25">
      <c r="A83" s="12">
        <v>46198</v>
      </c>
      <c r="B83" s="15">
        <v>0</v>
      </c>
      <c r="C83" s="15">
        <v>0.060285605483625285</v>
      </c>
      <c r="D83" s="15">
        <v>0.12028560548362528</v>
      </c>
      <c r="E83" s="15">
        <v>0.03</v>
      </c>
      <c r="F83" s="15">
        <v>0.0445</v>
      </c>
    </row>
    <row r="84" spans="1:6" x14ac:dyDescent="0.25">
      <c r="A84" s="12">
        <v>46233</v>
      </c>
      <c r="B84" s="15">
        <v>0</v>
      </c>
      <c r="C84" s="15">
        <v>0.060285605483625285</v>
      </c>
      <c r="D84" s="15">
        <v>0.12028560548362528</v>
      </c>
      <c r="E84" s="15">
        <v>0.03</v>
      </c>
      <c r="F84" s="15">
        <v>0.0445</v>
      </c>
    </row>
    <row r="85" spans="1:6" x14ac:dyDescent="0.25">
      <c r="A85" s="12">
        <v>46261</v>
      </c>
      <c r="B85" s="15">
        <v>0</v>
      </c>
      <c r="C85" s="15">
        <v>0.060285605483625285</v>
      </c>
      <c r="D85" s="15">
        <v>0.12028560548362528</v>
      </c>
      <c r="E85" s="15">
        <v>0.03</v>
      </c>
      <c r="F85" s="15">
        <v>0.0445</v>
      </c>
    </row>
    <row r="86" spans="1:6" x14ac:dyDescent="0.25">
      <c r="A86" s="12">
        <v>46289</v>
      </c>
      <c r="B86" s="15">
        <v>0</v>
      </c>
      <c r="C86" s="15">
        <v>0.060285605483625285</v>
      </c>
      <c r="D86" s="15">
        <v>0.12028560548362528</v>
      </c>
      <c r="E86" s="15">
        <v>0.03</v>
      </c>
      <c r="F86" s="15">
        <v>0.0445</v>
      </c>
    </row>
    <row r="87" spans="1:6" x14ac:dyDescent="0.25">
      <c r="A87" s="12">
        <v>46324</v>
      </c>
      <c r="B87" s="15">
        <v>0</v>
      </c>
      <c r="C87" s="15">
        <v>0.060285605483625285</v>
      </c>
      <c r="D87" s="15">
        <v>0.12028560548362528</v>
      </c>
      <c r="E87" s="15">
        <v>0.03</v>
      </c>
      <c r="F87" s="15">
        <v>0.055</v>
      </c>
    </row>
    <row r="88" spans="1:6" x14ac:dyDescent="0.25">
      <c r="A88" s="12">
        <v>46352</v>
      </c>
      <c r="B88" s="15">
        <v>0</v>
      </c>
      <c r="C88" s="15">
        <v>0.060285605483625285</v>
      </c>
      <c r="D88" s="15">
        <v>0.12028560548362528</v>
      </c>
      <c r="E88" s="15">
        <v>0.03</v>
      </c>
      <c r="F88" s="15">
        <v>0.055</v>
      </c>
    </row>
    <row r="89" spans="1:6" x14ac:dyDescent="0.25">
      <c r="A89" s="12">
        <v>46387</v>
      </c>
      <c r="B89" s="15">
        <v>0</v>
      </c>
      <c r="C89" s="15">
        <v>0.060285605483625285</v>
      </c>
      <c r="D89" s="15">
        <v>0.12028560548362528</v>
      </c>
      <c r="E89" s="15">
        <v>0.03</v>
      </c>
      <c r="F89" s="15">
        <v>0.055</v>
      </c>
    </row>
    <row r="90" spans="1:6" x14ac:dyDescent="0.25">
      <c r="A90" s="12">
        <v>46415</v>
      </c>
      <c r="B90" s="15">
        <v>0</v>
      </c>
      <c r="C90" s="15">
        <v>0.060285605483625285</v>
      </c>
      <c r="D90" s="15">
        <v>0.12028560548362528</v>
      </c>
      <c r="E90" s="15">
        <v>0.03</v>
      </c>
      <c r="F90" s="15">
        <v>0.055</v>
      </c>
    </row>
    <row r="91" spans="1:6" x14ac:dyDescent="0.25">
      <c r="A91" s="12">
        <v>46443</v>
      </c>
      <c r="B91" s="15">
        <v>0</v>
      </c>
      <c r="C91" s="15">
        <v>0.060285605483625285</v>
      </c>
      <c r="D91" s="15">
        <v>0.12028560548362528</v>
      </c>
      <c r="E91" s="15">
        <v>0.03</v>
      </c>
      <c r="F91" s="15">
        <v>0.055</v>
      </c>
    </row>
    <row r="92" spans="1:6" x14ac:dyDescent="0.25">
      <c r="A92" s="12">
        <v>46471</v>
      </c>
      <c r="B92" s="15">
        <v>0</v>
      </c>
      <c r="C92" s="15">
        <v>0.060285605483625285</v>
      </c>
      <c r="D92" s="15">
        <v>0.12028560548362528</v>
      </c>
      <c r="E92" s="15">
        <v>0.03</v>
      </c>
      <c r="F92" s="15">
        <v>0.055</v>
      </c>
    </row>
    <row r="93" spans="1:6" x14ac:dyDescent="0.25">
      <c r="A93" s="12">
        <v>46471</v>
      </c>
      <c r="B93" s="15">
        <v>0</v>
      </c>
      <c r="C93" s="15">
        <v>0.060285605483625285</v>
      </c>
      <c r="D93" s="15">
        <v>0.12028560548362528</v>
      </c>
      <c r="E93" s="15">
        <v>0.03</v>
      </c>
      <c r="F93" s="15">
        <v>0.055</v>
      </c>
    </row>
    <row r="94" spans="1:6" x14ac:dyDescent="0.25">
      <c r="A94" s="12">
        <v>46506</v>
      </c>
      <c r="B94" s="15">
        <v>0</v>
      </c>
      <c r="C94" s="15">
        <v>0.060285605483625285</v>
      </c>
      <c r="D94" s="15">
        <v>0.12028560548362528</v>
      </c>
      <c r="E94" s="15">
        <v>0.03</v>
      </c>
      <c r="F94" s="15">
        <v>0.055</v>
      </c>
    </row>
    <row r="95" spans="1:6" x14ac:dyDescent="0.25">
      <c r="A95" s="12">
        <v>46534</v>
      </c>
      <c r="B95" s="15">
        <v>0</v>
      </c>
      <c r="C95" s="15">
        <v>0.060285605483625285</v>
      </c>
      <c r="D95" s="15">
        <v>0.12028560548362528</v>
      </c>
      <c r="E95" s="15">
        <v>0.03</v>
      </c>
      <c r="F95" s="15">
        <v>0.055</v>
      </c>
    </row>
    <row r="96" spans="1:6" x14ac:dyDescent="0.25">
      <c r="A96" s="12">
        <v>46562</v>
      </c>
      <c r="B96" s="15">
        <v>0</v>
      </c>
      <c r="C96" s="15">
        <v>0.060285605483625285</v>
      </c>
      <c r="D96" s="15">
        <v>0.12028560548362528</v>
      </c>
      <c r="E96" s="15">
        <v>0.03</v>
      </c>
      <c r="F96" s="15">
        <v>0.055</v>
      </c>
    </row>
    <row r="97" spans="1:6" x14ac:dyDescent="0.25">
      <c r="A97" s="12">
        <v>46597</v>
      </c>
      <c r="B97" s="15">
        <v>0</v>
      </c>
      <c r="C97" s="15">
        <v>0.060285605483625285</v>
      </c>
      <c r="D97" s="15">
        <v>0.12028560548362528</v>
      </c>
      <c r="E97" s="15">
        <v>0.03</v>
      </c>
      <c r="F97" s="15">
        <v>0.055</v>
      </c>
    </row>
    <row r="98" spans="1:6" x14ac:dyDescent="0.25">
      <c r="A98" s="12">
        <v>46625</v>
      </c>
      <c r="B98" s="15">
        <v>0</v>
      </c>
      <c r="C98" s="15">
        <v>0.060285605483625285</v>
      </c>
      <c r="D98" s="15">
        <v>0.12028560548362528</v>
      </c>
      <c r="E98" s="15">
        <v>0.03</v>
      </c>
      <c r="F98" s="15">
        <v>0.055</v>
      </c>
    </row>
    <row r="99" spans="1:6" x14ac:dyDescent="0.25">
      <c r="A99" s="12">
        <v>46660</v>
      </c>
      <c r="B99" s="15">
        <v>0</v>
      </c>
      <c r="C99" s="15">
        <v>0.060285605483625285</v>
      </c>
      <c r="D99" s="15">
        <v>0.12028560548362528</v>
      </c>
      <c r="E99" s="15">
        <v>0.03</v>
      </c>
      <c r="F99" s="15">
        <v>0.055</v>
      </c>
    </row>
    <row r="100" spans="1:6" x14ac:dyDescent="0.25">
      <c r="A100" s="12">
        <v>46688</v>
      </c>
      <c r="B100" s="15">
        <v>0</v>
      </c>
      <c r="C100" s="15">
        <v>0.060285605483625285</v>
      </c>
      <c r="D100" s="15">
        <v>0.12028560548362528</v>
      </c>
      <c r="E100" s="15">
        <v>0.03</v>
      </c>
      <c r="F100" s="15">
        <v>0.055</v>
      </c>
    </row>
    <row r="101" spans="1:6" x14ac:dyDescent="0.25">
      <c r="A101" s="12">
        <v>46716</v>
      </c>
      <c r="B101" s="15">
        <v>0</v>
      </c>
      <c r="C101" s="15">
        <v>0.060285605483625285</v>
      </c>
      <c r="D101" s="15">
        <v>0.12028560548362528</v>
      </c>
      <c r="E101" s="15">
        <v>0.03</v>
      </c>
      <c r="F101" s="15">
        <v>0.055</v>
      </c>
    </row>
    <row r="102" spans="1:6" x14ac:dyDescent="0.25">
      <c r="A102" s="12">
        <v>46751</v>
      </c>
      <c r="B102" s="15">
        <v>0</v>
      </c>
      <c r="C102" s="15">
        <v>0.060285605483625285</v>
      </c>
      <c r="D102" s="15">
        <v>0.12028560548362528</v>
      </c>
      <c r="E102" s="15">
        <v>0.03</v>
      </c>
      <c r="F102" s="15">
        <v>0.055</v>
      </c>
    </row>
    <row r="103" spans="1:6" x14ac:dyDescent="0.25">
      <c r="A103" s="12">
        <v>46779</v>
      </c>
      <c r="B103" s="15">
        <v>0</v>
      </c>
      <c r="C103" s="15">
        <v>0.060285605483625285</v>
      </c>
      <c r="D103" s="15">
        <v>0.12028560548362528</v>
      </c>
      <c r="E103" s="15">
        <v>0.03</v>
      </c>
      <c r="F103" s="15">
        <v>0.055</v>
      </c>
    </row>
    <row r="104" spans="1:6" x14ac:dyDescent="0.25">
      <c r="A104" s="12">
        <v>46807</v>
      </c>
      <c r="B104" s="15">
        <v>0</v>
      </c>
      <c r="C104" s="15">
        <v>0.060285605483625285</v>
      </c>
      <c r="D104" s="15">
        <v>0.12028560548362528</v>
      </c>
      <c r="E104" s="15">
        <v>0.03</v>
      </c>
      <c r="F104" s="15">
        <v>0.055</v>
      </c>
    </row>
    <row r="105" spans="1:6" x14ac:dyDescent="0.25">
      <c r="A105" s="12">
        <v>46842</v>
      </c>
      <c r="B105" s="15">
        <v>0</v>
      </c>
      <c r="C105" s="15">
        <v>0.060285605483625285</v>
      </c>
      <c r="D105" s="15">
        <v>0.12028560548362528</v>
      </c>
      <c r="E105" s="15">
        <v>0.03</v>
      </c>
      <c r="F105" s="15">
        <v>0.055</v>
      </c>
    </row>
    <row r="106" spans="1:6" x14ac:dyDescent="0.25">
      <c r="A106" s="12">
        <v>46870</v>
      </c>
      <c r="B106" s="15">
        <v>0</v>
      </c>
      <c r="C106" s="15">
        <v>0.060285605483625285</v>
      </c>
      <c r="D106" s="15">
        <v>0.12028560548362528</v>
      </c>
      <c r="E106" s="15">
        <v>0.03</v>
      </c>
      <c r="F106" s="15">
        <v>0.055</v>
      </c>
    </row>
    <row r="107" spans="1:6" x14ac:dyDescent="0.25">
      <c r="A107" s="12">
        <v>46898</v>
      </c>
      <c r="B107" s="15">
        <v>0</v>
      </c>
      <c r="C107" s="15">
        <v>0.060285605483625285</v>
      </c>
      <c r="D107" s="15">
        <v>0.12028560548362528</v>
      </c>
      <c r="E107" s="15">
        <v>0.03</v>
      </c>
      <c r="F107" s="15">
        <v>0.055</v>
      </c>
    </row>
    <row r="108" spans="1:6" x14ac:dyDescent="0.25">
      <c r="A108" s="12">
        <v>46933</v>
      </c>
      <c r="B108" s="15">
        <v>0</v>
      </c>
      <c r="C108" s="15">
        <v>0.060285605483625285</v>
      </c>
      <c r="D108" s="15">
        <v>0.12028560548362528</v>
      </c>
      <c r="E108" s="15">
        <v>0.03</v>
      </c>
      <c r="F108" s="15">
        <v>0.055</v>
      </c>
    </row>
    <row r="109" spans="1:6" x14ac:dyDescent="0.25">
      <c r="A109" s="12">
        <v>46959</v>
      </c>
      <c r="B109" s="15">
        <v>0</v>
      </c>
      <c r="C109" s="15">
        <v>0.060285605483625285</v>
      </c>
      <c r="D109" s="15">
        <v>0.12028560548362528</v>
      </c>
      <c r="E109" s="15">
        <v>0.03</v>
      </c>
      <c r="F109" s="15">
        <v>0.055</v>
      </c>
    </row>
    <row r="110" spans="1:6" x14ac:dyDescent="0.25">
      <c r="A110" s="12">
        <v>46994</v>
      </c>
      <c r="B110" s="15">
        <v>0</v>
      </c>
      <c r="C110" s="15">
        <v>0.060285605483625285</v>
      </c>
      <c r="D110" s="15">
        <v>0.12028560548362528</v>
      </c>
      <c r="E110" s="15">
        <v>0.03</v>
      </c>
      <c r="F110" s="15">
        <v>0.055</v>
      </c>
    </row>
    <row r="111" spans="1:6" x14ac:dyDescent="0.25">
      <c r="A111" s="12">
        <v>47022</v>
      </c>
      <c r="B111" s="15">
        <v>0</v>
      </c>
      <c r="C111" s="15">
        <v>0.060285605483625285</v>
      </c>
      <c r="D111" s="15">
        <v>0.12028560548362528</v>
      </c>
      <c r="E111" s="15">
        <v>0.03</v>
      </c>
      <c r="F111" s="15">
        <v>0.055</v>
      </c>
    </row>
    <row r="112" spans="1:6" x14ac:dyDescent="0.25">
      <c r="A112" s="12">
        <v>47052</v>
      </c>
      <c r="B112" s="15">
        <v>0</v>
      </c>
      <c r="C112" s="15">
        <v>0.060285605483625285</v>
      </c>
      <c r="D112" s="15">
        <v>0.12028560548362528</v>
      </c>
      <c r="E112" s="15">
        <v>0.03</v>
      </c>
      <c r="F112" s="15">
        <v>0.055</v>
      </c>
    </row>
    <row r="113" spans="1:6" x14ac:dyDescent="0.25">
      <c r="A113" s="12">
        <v>47087</v>
      </c>
      <c r="B113" s="15">
        <v>0</v>
      </c>
      <c r="C113" s="15">
        <v>0.060285605483625285</v>
      </c>
      <c r="D113" s="15">
        <v>0.12028560548362528</v>
      </c>
      <c r="E113" s="15">
        <v>0.03</v>
      </c>
      <c r="F113" s="15">
        <v>0.055</v>
      </c>
    </row>
    <row r="114" spans="1:6" x14ac:dyDescent="0.25">
      <c r="A114" s="12">
        <v>47115</v>
      </c>
      <c r="B114" s="15">
        <v>0</v>
      </c>
      <c r="C114" s="15">
        <v>0.060285605483625285</v>
      </c>
      <c r="D114" s="15">
        <v>0.12028560548362528</v>
      </c>
      <c r="E114" s="15">
        <v>0.03</v>
      </c>
      <c r="F114" s="15">
        <v>0.055</v>
      </c>
    </row>
    <row r="115" spans="1:6" x14ac:dyDescent="0.25">
      <c r="A115" s="12">
        <v>47143</v>
      </c>
      <c r="B115" s="15">
        <v>0</v>
      </c>
      <c r="C115" s="15">
        <v>0.060285605483625285</v>
      </c>
      <c r="D115" s="15">
        <v>0.12028560548362528</v>
      </c>
      <c r="E115" s="15">
        <v>0.03</v>
      </c>
      <c r="F115" s="15">
        <v>0.055</v>
      </c>
    </row>
    <row r="116" spans="1:6" x14ac:dyDescent="0.25">
      <c r="A116" s="12">
        <v>47171</v>
      </c>
      <c r="B116" s="15">
        <v>0</v>
      </c>
      <c r="C116" s="15">
        <v>0.060285605483625285</v>
      </c>
      <c r="D116" s="15">
        <v>0.12028560548362528</v>
      </c>
      <c r="E116" s="15">
        <v>0.03</v>
      </c>
      <c r="F116" s="15">
        <v>0.055</v>
      </c>
    </row>
    <row r="117" spans="1:6" x14ac:dyDescent="0.25">
      <c r="A117" s="12">
        <v>47206</v>
      </c>
      <c r="B117" s="15">
        <v>0</v>
      </c>
      <c r="C117" s="15">
        <v>0.060285605483625285</v>
      </c>
      <c r="D117" s="15">
        <v>0.12028560548362528</v>
      </c>
      <c r="E117" s="15">
        <v>0.03</v>
      </c>
      <c r="F117" s="15">
        <v>0.055</v>
      </c>
    </row>
    <row r="118" spans="1:6" x14ac:dyDescent="0.25">
      <c r="A118" s="12">
        <v>47234</v>
      </c>
      <c r="B118" s="15">
        <v>0</v>
      </c>
      <c r="C118" s="15">
        <v>0.060285605483625285</v>
      </c>
      <c r="D118" s="15">
        <v>0.12028560548362528</v>
      </c>
      <c r="E118" s="15">
        <v>0.03</v>
      </c>
      <c r="F118" s="15">
        <v>0.055</v>
      </c>
    </row>
    <row r="119" spans="1:6" x14ac:dyDescent="0.25">
      <c r="A119" s="12">
        <v>47269</v>
      </c>
      <c r="B119" s="15">
        <v>0</v>
      </c>
      <c r="C119" s="15">
        <v>0.060285605483625285</v>
      </c>
      <c r="D119" s="15">
        <v>0.12028560548362528</v>
      </c>
      <c r="E119" s="15">
        <v>0.03</v>
      </c>
      <c r="F119" s="15">
        <v>0.055</v>
      </c>
    </row>
    <row r="120" spans="1:6" x14ac:dyDescent="0.25">
      <c r="A120" s="12">
        <v>47297</v>
      </c>
      <c r="B120" s="15">
        <v>0</v>
      </c>
      <c r="C120" s="15">
        <v>0.060285605483625285</v>
      </c>
      <c r="D120" s="15">
        <v>0.12028560548362528</v>
      </c>
      <c r="E120" s="15">
        <v>0.03</v>
      </c>
      <c r="F120" s="15">
        <v>0.055</v>
      </c>
    </row>
    <row r="121" spans="1:6" x14ac:dyDescent="0.25">
      <c r="A121" s="12">
        <v>47325</v>
      </c>
      <c r="B121" s="15">
        <v>0</v>
      </c>
      <c r="C121" s="15">
        <v>0.060285605483625285</v>
      </c>
      <c r="D121" s="15">
        <v>0.12028560548362528</v>
      </c>
      <c r="E121" s="15">
        <v>0.03</v>
      </c>
      <c r="F121" s="15">
        <v>0.055</v>
      </c>
    </row>
    <row r="122" spans="1:6" x14ac:dyDescent="0.25">
      <c r="A122" s="12">
        <v>47360</v>
      </c>
      <c r="B122" s="15">
        <v>0</v>
      </c>
      <c r="C122" s="15">
        <v>0.060285605483625285</v>
      </c>
      <c r="D122" s="15">
        <v>0.12028560548362528</v>
      </c>
      <c r="E122" s="15">
        <v>0.03</v>
      </c>
      <c r="F122" s="15">
        <v>0.055</v>
      </c>
    </row>
    <row r="123" spans="1:6" x14ac:dyDescent="0.25">
      <c r="A123" s="12">
        <v>47388</v>
      </c>
      <c r="B123" s="15">
        <v>0</v>
      </c>
      <c r="C123" s="15">
        <v>0.060285605483625285</v>
      </c>
      <c r="D123" s="15">
        <v>0.12028560548362528</v>
      </c>
      <c r="E123" s="15">
        <v>0.03</v>
      </c>
      <c r="F123" s="15">
        <v>0.055</v>
      </c>
    </row>
    <row r="124" spans="1:6" x14ac:dyDescent="0.25">
      <c r="A124" s="12">
        <v>47416</v>
      </c>
      <c r="B124" s="15">
        <v>0</v>
      </c>
      <c r="C124" s="15">
        <v>0.060285605483625285</v>
      </c>
      <c r="D124" s="15">
        <v>0.12028560548362528</v>
      </c>
      <c r="E124" s="15">
        <v>0.03</v>
      </c>
      <c r="F124" s="15">
        <v>0.055</v>
      </c>
    </row>
    <row r="125" spans="1:6" x14ac:dyDescent="0.25">
      <c r="A125" s="12">
        <v>47451</v>
      </c>
      <c r="B125" s="15">
        <v>0</v>
      </c>
      <c r="C125" s="15">
        <v>0.060285605483625285</v>
      </c>
      <c r="D125" s="15">
        <v>0.12028560548362528</v>
      </c>
      <c r="E125" s="15">
        <v>0.03</v>
      </c>
      <c r="F125" s="15">
        <v>0.055</v>
      </c>
    </row>
    <row r="126" spans="1:6" x14ac:dyDescent="0.25">
      <c r="A126" s="12">
        <v>47479</v>
      </c>
      <c r="B126" s="15">
        <v>0</v>
      </c>
      <c r="C126" s="15">
        <v>0.060285605483625285</v>
      </c>
      <c r="D126" s="15">
        <v>0.12028560548362528</v>
      </c>
      <c r="E126" s="15">
        <v>0.03</v>
      </c>
      <c r="F126" s="15">
        <v>0.055</v>
      </c>
    </row>
    <row r="127" spans="1:6" x14ac:dyDescent="0.25">
      <c r="A127" s="12">
        <v>47514</v>
      </c>
      <c r="B127" s="15">
        <v>0</v>
      </c>
      <c r="C127" s="15">
        <v>0.060285605483625285</v>
      </c>
      <c r="D127" s="15">
        <v>0.12028560548362528</v>
      </c>
      <c r="E127" s="15">
        <v>0.03</v>
      </c>
      <c r="F127" s="15">
        <v>0.055</v>
      </c>
    </row>
    <row r="128" spans="1:6" x14ac:dyDescent="0.25">
      <c r="A128" s="12">
        <v>47542</v>
      </c>
      <c r="B128" s="15">
        <v>0</v>
      </c>
      <c r="C128" s="15">
        <v>0.060285605483625285</v>
      </c>
      <c r="D128" s="15">
        <v>0.12028560548362528</v>
      </c>
      <c r="E128" s="15">
        <v>0.03</v>
      </c>
      <c r="F128" s="15">
        <v>0.055</v>
      </c>
    </row>
    <row r="129" spans="1:6" x14ac:dyDescent="0.25">
      <c r="A129" s="12">
        <v>47570</v>
      </c>
      <c r="B129" s="15">
        <v>0</v>
      </c>
      <c r="C129" s="15">
        <v>0.060285605483625285</v>
      </c>
      <c r="D129" s="15">
        <v>0.12028560548362528</v>
      </c>
      <c r="E129" s="15">
        <v>0.03</v>
      </c>
      <c r="F129" s="15">
        <v>0.055</v>
      </c>
    </row>
    <row r="130" spans="1:6" x14ac:dyDescent="0.25">
      <c r="A130" s="12">
        <v>47598</v>
      </c>
      <c r="B130" s="15">
        <v>0</v>
      </c>
      <c r="C130" s="15">
        <v>0.060285605483625285</v>
      </c>
      <c r="D130" s="15">
        <v>0.12028560548362528</v>
      </c>
      <c r="E130" s="15">
        <v>0.03</v>
      </c>
      <c r="F130" s="15">
        <v>0.055</v>
      </c>
    </row>
    <row r="131" spans="1:6" x14ac:dyDescent="0.25">
      <c r="A131" s="12">
        <v>47633</v>
      </c>
      <c r="B131" s="15">
        <v>0</v>
      </c>
      <c r="C131" s="15">
        <v>0.060285605483625285</v>
      </c>
      <c r="D131" s="15">
        <v>0.12028560548362528</v>
      </c>
      <c r="E131" s="15">
        <v>0.03</v>
      </c>
      <c r="F131" s="15">
        <v>0.055</v>
      </c>
    </row>
    <row r="132" spans="1:6" x14ac:dyDescent="0.25">
      <c r="A132" s="12">
        <v>47661</v>
      </c>
      <c r="B132" s="15">
        <v>0</v>
      </c>
      <c r="C132" s="15">
        <v>0.060285605483625285</v>
      </c>
      <c r="D132" s="15">
        <v>0.12028560548362528</v>
      </c>
      <c r="E132" s="15">
        <v>0.03</v>
      </c>
      <c r="F132" s="15">
        <v>0.055</v>
      </c>
    </row>
    <row r="133" spans="1:6" x14ac:dyDescent="0.25">
      <c r="A133" s="12">
        <v>47689</v>
      </c>
      <c r="B133" s="15">
        <v>0</v>
      </c>
      <c r="C133" s="15">
        <v>0.060285605483625285</v>
      </c>
      <c r="D133" s="15">
        <v>0.12028560548362528</v>
      </c>
      <c r="E133" s="15">
        <v>0.03</v>
      </c>
      <c r="F133" s="15">
        <v>0.055</v>
      </c>
    </row>
    <row r="134" spans="1:6" x14ac:dyDescent="0.25">
      <c r="A134" s="12">
        <v>47724</v>
      </c>
      <c r="B134" s="15">
        <v>0</v>
      </c>
      <c r="C134" s="15">
        <v>0.060285605483625285</v>
      </c>
      <c r="D134" s="15">
        <v>0.12028560548362528</v>
      </c>
      <c r="E134" s="15">
        <v>0.03</v>
      </c>
      <c r="F134" s="15">
        <v>0.055</v>
      </c>
    </row>
    <row r="135" spans="1:6" x14ac:dyDescent="0.25">
      <c r="A135" s="12">
        <v>47752</v>
      </c>
      <c r="B135" s="15">
        <v>0</v>
      </c>
      <c r="C135" s="15">
        <v>0.060285605483625285</v>
      </c>
      <c r="D135" s="15">
        <v>0.12028560548362528</v>
      </c>
      <c r="E135" s="15">
        <v>0.03</v>
      </c>
      <c r="F135" s="15">
        <v>0.055</v>
      </c>
    </row>
    <row r="136" spans="1:6" x14ac:dyDescent="0.25">
      <c r="A136" s="12">
        <v>47787</v>
      </c>
      <c r="B136" s="15">
        <v>0</v>
      </c>
      <c r="C136" s="15">
        <v>0.060285605483625285</v>
      </c>
      <c r="D136" s="15">
        <v>0.12028560548362528</v>
      </c>
      <c r="E136" s="15">
        <v>0.03</v>
      </c>
      <c r="F136" s="15">
        <v>0.055</v>
      </c>
    </row>
    <row r="137" spans="1:6" x14ac:dyDescent="0.25">
      <c r="A137" s="12">
        <v>47815</v>
      </c>
      <c r="B137" s="15">
        <v>0</v>
      </c>
      <c r="C137" s="15">
        <v>0.060285605483625285</v>
      </c>
      <c r="D137" s="15">
        <v>0.12028560548362528</v>
      </c>
      <c r="E137" s="15">
        <v>0.03</v>
      </c>
      <c r="F137" s="15">
        <v>0.055</v>
      </c>
    </row>
    <row r="138" spans="1:6" x14ac:dyDescent="0.25">
      <c r="A138" s="12">
        <v>47843</v>
      </c>
      <c r="B138" s="15">
        <v>0</v>
      </c>
      <c r="C138" s="15">
        <v>0.060285605483625285</v>
      </c>
      <c r="D138" s="15">
        <v>0.12028560548362528</v>
      </c>
      <c r="E138" s="15">
        <v>0.03</v>
      </c>
      <c r="F138" s="15">
        <v>0.055</v>
      </c>
    </row>
    <row r="139" spans="1:6" x14ac:dyDescent="0.25">
      <c r="A139" s="12">
        <v>47878</v>
      </c>
      <c r="B139" s="15">
        <v>0</v>
      </c>
      <c r="C139" s="15">
        <v>0.060285605483625285</v>
      </c>
      <c r="D139" s="15">
        <v>0.12028560548362528</v>
      </c>
      <c r="E139" s="15">
        <v>0.03</v>
      </c>
      <c r="F139" s="15">
        <v>0.055</v>
      </c>
    </row>
    <row r="140" spans="1:6" x14ac:dyDescent="0.25">
      <c r="A140" s="12">
        <v>47906</v>
      </c>
      <c r="B140" s="15">
        <v>0</v>
      </c>
      <c r="C140" s="15">
        <v>0.060285605483625285</v>
      </c>
      <c r="D140" s="15">
        <v>0.12028560548362528</v>
      </c>
      <c r="E140" s="15">
        <v>0.03</v>
      </c>
      <c r="F140" s="15">
        <v>0.055</v>
      </c>
    </row>
    <row r="141" spans="1:6" x14ac:dyDescent="0.25">
      <c r="A141" s="12">
        <v>47934</v>
      </c>
      <c r="B141" s="15">
        <v>0</v>
      </c>
      <c r="C141" s="15">
        <v>0.060285605483625285</v>
      </c>
      <c r="D141" s="15">
        <v>0.12028560548362528</v>
      </c>
      <c r="E141" s="15">
        <v>0.03</v>
      </c>
      <c r="F141" s="15">
        <v>0.055</v>
      </c>
    </row>
    <row r="142" spans="1:6" x14ac:dyDescent="0.25">
      <c r="A142" s="12">
        <v>47962</v>
      </c>
      <c r="B142" s="15">
        <v>0</v>
      </c>
      <c r="C142" s="15">
        <v>0.060285605483625285</v>
      </c>
      <c r="D142" s="15">
        <v>0.12028560548362528</v>
      </c>
      <c r="E142" s="15">
        <v>0.03</v>
      </c>
      <c r="F142" s="15">
        <v>0.055</v>
      </c>
    </row>
  </sheetData>
  <mergeCells count="4">
    <mergeCell ref="A4:H4"/>
    <mergeCell ref="A5:H5"/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8" customWidth="1"/>
  </cols>
  <sheetData>
    <row r="1" ht="30" customHeight="1" spans="1:8" x14ac:dyDescent="0.25">
      <c r="A1" s="1"/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6" customHeight="1" spans="1:8" x14ac:dyDescent="0.25">
      <c r="A3" s="1"/>
      <c r="B3" s="1"/>
      <c r="C3" s="1"/>
      <c r="D3" s="1"/>
      <c r="E3" s="1"/>
      <c r="F3" s="1"/>
      <c r="G3" s="1"/>
      <c r="H3" s="1"/>
    </row>
    <row r="4" ht="5" customHeight="1" spans="1:8" x14ac:dyDescent="0.25">
      <c r="A4" s="2"/>
      <c r="B4" s="2"/>
      <c r="C4" s="2"/>
      <c r="D4" s="2"/>
      <c r="E4" s="2"/>
      <c r="F4" s="2"/>
      <c r="G4" s="2"/>
      <c r="H4" s="2"/>
    </row>
    <row r="5" ht="36" customHeight="1" spans="1:8" x14ac:dyDescent="0.25">
      <c r="A5" s="3" t="s">
        <v>26</v>
      </c>
      <c r="B5" s="3"/>
      <c r="C5" s="3"/>
      <c r="D5" s="3"/>
      <c r="E5" s="3"/>
      <c r="F5" s="3"/>
      <c r="G5" s="3"/>
      <c r="H5" s="3"/>
    </row>
    <row r="6" ht="22" customHeight="1" spans="1:8" x14ac:dyDescent="0.25">
      <c r="A6" s="4" t="s">
        <v>27</v>
      </c>
      <c r="B6" s="4"/>
      <c r="C6" s="4"/>
      <c r="D6" s="4"/>
      <c r="E6" s="4"/>
      <c r="F6" s="4"/>
      <c r="G6" s="4"/>
      <c r="H6" s="4"/>
    </row>
    <row r="7" ht="16" customHeight="1" spans="1:8" x14ac:dyDescent="0.25">
      <c r="A7" s="5" t="s">
        <v>2</v>
      </c>
      <c r="B7" s="5"/>
      <c r="C7" s="5"/>
      <c r="D7" s="5"/>
      <c r="E7" s="5"/>
      <c r="F7" s="5"/>
      <c r="G7" s="5"/>
      <c r="H7" s="5"/>
    </row>
    <row r="8" ht="8" customHeight="1" x14ac:dyDescent="0.25"/>
    <row r="9" spans="1:2" x14ac:dyDescent="0.25">
      <c r="A9" s="6" t="s">
        <v>20</v>
      </c>
      <c r="B9" s="6" t="s">
        <v>28</v>
      </c>
    </row>
    <row r="10" spans="1:2" x14ac:dyDescent="0.25">
      <c r="A10" s="12">
        <v>44196</v>
      </c>
      <c r="B10" s="13">
        <v>4.198386446081097</v>
      </c>
    </row>
    <row r="11" spans="1:2" x14ac:dyDescent="0.25">
      <c r="A11" s="12">
        <v>44280</v>
      </c>
      <c r="B11" s="13">
        <v>4.259978722050547</v>
      </c>
    </row>
    <row r="12" spans="1:2" x14ac:dyDescent="0.25">
      <c r="A12" s="12">
        <v>44371</v>
      </c>
      <c r="B12" s="13">
        <v>4.5</v>
      </c>
    </row>
    <row r="13" spans="1:2" x14ac:dyDescent="0.25">
      <c r="A13" s="12">
        <v>44560</v>
      </c>
      <c r="B13" s="13">
        <v>4.5</v>
      </c>
    </row>
    <row r="14" spans="1:2" x14ac:dyDescent="0.25">
      <c r="A14" s="12">
        <v>44742</v>
      </c>
      <c r="B14" s="13">
        <v>4.579999999999999</v>
      </c>
    </row>
    <row r="15" spans="1:2" x14ac:dyDescent="0.25">
      <c r="A15" s="12">
        <v>44924</v>
      </c>
      <c r="B15" s="13">
        <v>4.579999999999999</v>
      </c>
    </row>
    <row r="16" spans="1:2" x14ac:dyDescent="0.25">
      <c r="A16" s="12">
        <v>45105</v>
      </c>
      <c r="B16" s="13">
        <v>6.5</v>
      </c>
    </row>
    <row r="17" spans="1:2" x14ac:dyDescent="0.25">
      <c r="A17" s="12">
        <v>45288</v>
      </c>
      <c r="B17" s="13">
        <v>6.5</v>
      </c>
    </row>
    <row r="18" spans="1:2" x14ac:dyDescent="0.25">
      <c r="A18" s="12">
        <v>46021</v>
      </c>
      <c r="B18" s="13">
        <v>6.5</v>
      </c>
    </row>
  </sheetData>
  <mergeCells count="4">
    <mergeCell ref="A4:H4"/>
    <mergeCell ref="A5:H5"/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8" customWidth="1"/>
  </cols>
  <sheetData>
    <row r="1" ht="30" customHeight="1" spans="1:8" x14ac:dyDescent="0.25">
      <c r="A1" s="1"/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6" customHeight="1" spans="1:8" x14ac:dyDescent="0.25">
      <c r="A3" s="1"/>
      <c r="B3" s="1"/>
      <c r="C3" s="1"/>
      <c r="D3" s="1"/>
      <c r="E3" s="1"/>
      <c r="F3" s="1"/>
      <c r="G3" s="1"/>
      <c r="H3" s="1"/>
    </row>
    <row r="4" ht="5" customHeight="1" spans="1:8" x14ac:dyDescent="0.25">
      <c r="A4" s="2"/>
      <c r="B4" s="2"/>
      <c r="C4" s="2"/>
      <c r="D4" s="2"/>
      <c r="E4" s="2"/>
      <c r="F4" s="2"/>
      <c r="G4" s="2"/>
      <c r="H4" s="2"/>
    </row>
    <row r="5" ht="36" customHeight="1" spans="1:8" x14ac:dyDescent="0.25">
      <c r="A5" s="3" t="s">
        <v>29</v>
      </c>
      <c r="B5" s="3"/>
      <c r="C5" s="3"/>
      <c r="D5" s="3"/>
      <c r="E5" s="3"/>
      <c r="F5" s="3"/>
      <c r="G5" s="3"/>
      <c r="H5" s="3"/>
    </row>
    <row r="6" ht="22" customHeight="1" spans="1:8" x14ac:dyDescent="0.25">
      <c r="A6" s="4" t="s">
        <v>30</v>
      </c>
      <c r="B6" s="4"/>
      <c r="C6" s="4"/>
      <c r="D6" s="4"/>
      <c r="E6" s="4"/>
      <c r="F6" s="4"/>
      <c r="G6" s="4"/>
      <c r="H6" s="4"/>
    </row>
    <row r="7" ht="16" customHeight="1" spans="1:8" x14ac:dyDescent="0.25">
      <c r="A7" s="5" t="s">
        <v>2</v>
      </c>
      <c r="B7" s="5"/>
      <c r="C7" s="5"/>
      <c r="D7" s="5"/>
      <c r="E7" s="5"/>
      <c r="F7" s="5"/>
      <c r="G7" s="5"/>
      <c r="H7" s="5"/>
    </row>
    <row r="8" ht="8" customHeight="1" x14ac:dyDescent="0.25"/>
    <row r="9" spans="1:2" x14ac:dyDescent="0.25">
      <c r="A9" s="6" t="s">
        <v>20</v>
      </c>
      <c r="B9" s="6" t="s">
        <v>31</v>
      </c>
    </row>
    <row r="10" spans="1:2" x14ac:dyDescent="0.25">
      <c r="A10" s="12">
        <v>43739</v>
      </c>
      <c r="B10" s="16">
        <v>0.263</v>
      </c>
    </row>
    <row r="11" spans="1:2" x14ac:dyDescent="0.25">
      <c r="A11" s="12">
        <v>43770</v>
      </c>
      <c r="B11" s="16">
        <v>0</v>
      </c>
    </row>
    <row r="12" spans="1:2" x14ac:dyDescent="0.25">
      <c r="A12" s="12">
        <v>43800</v>
      </c>
      <c r="B12" s="16">
        <v>0.493</v>
      </c>
    </row>
    <row r="13" spans="1:2" x14ac:dyDescent="0.25">
      <c r="A13" s="12">
        <v>43831</v>
      </c>
      <c r="B13" s="16">
        <v>3.305</v>
      </c>
    </row>
    <row r="14" spans="1:2" x14ac:dyDescent="0.25">
      <c r="A14" s="12">
        <v>43862</v>
      </c>
      <c r="B14" s="16">
        <v>16.809</v>
      </c>
    </row>
    <row r="15" spans="1:2" x14ac:dyDescent="0.25">
      <c r="A15" s="12">
        <v>43891</v>
      </c>
      <c r="B15" s="16">
        <v>17.337</v>
      </c>
    </row>
    <row r="16" spans="1:2" x14ac:dyDescent="0.25">
      <c r="A16" s="12">
        <v>43922</v>
      </c>
      <c r="B16" s="16">
        <v>0</v>
      </c>
    </row>
    <row r="17" spans="1:2" x14ac:dyDescent="0.25">
      <c r="A17" s="12">
        <v>43952</v>
      </c>
      <c r="B17" s="16">
        <v>1.592</v>
      </c>
    </row>
    <row r="18" spans="1:2" x14ac:dyDescent="0.25">
      <c r="A18" s="12">
        <v>43983</v>
      </c>
      <c r="B18" s="16">
        <v>46.679</v>
      </c>
    </row>
    <row r="19" spans="1:2" x14ac:dyDescent="0.25">
      <c r="A19" s="12">
        <v>44013</v>
      </c>
      <c r="B19" s="16">
        <v>42.171</v>
      </c>
    </row>
    <row r="20" spans="1:2" x14ac:dyDescent="0.25">
      <c r="A20" s="12">
        <v>44044</v>
      </c>
      <c r="B20" s="16">
        <v>13.681</v>
      </c>
    </row>
    <row r="21" spans="1:2" x14ac:dyDescent="0.25">
      <c r="A21" s="12">
        <v>44075</v>
      </c>
      <c r="B21" s="16">
        <v>3.689</v>
      </c>
    </row>
    <row r="22" spans="1:2" x14ac:dyDescent="0.25">
      <c r="A22" s="12">
        <v>44105</v>
      </c>
      <c r="B22" s="16">
        <v>12.382</v>
      </c>
    </row>
    <row r="23" spans="1:2" x14ac:dyDescent="0.25">
      <c r="A23" s="12">
        <v>44136</v>
      </c>
      <c r="B23" s="16">
        <v>0</v>
      </c>
    </row>
    <row r="24" spans="1:2" x14ac:dyDescent="0.25">
      <c r="A24" s="12">
        <v>44166</v>
      </c>
      <c r="B24" s="16">
        <v>0.589</v>
      </c>
    </row>
    <row r="25" spans="1:2" x14ac:dyDescent="0.25">
      <c r="A25" s="12">
        <v>44197</v>
      </c>
      <c r="B25" s="16">
        <v>3.817</v>
      </c>
    </row>
    <row r="26" spans="1:2" x14ac:dyDescent="0.25">
      <c r="A26" s="12">
        <v>44228</v>
      </c>
      <c r="B26" s="16">
        <v>18.483</v>
      </c>
    </row>
    <row r="27" spans="1:2" x14ac:dyDescent="0.25">
      <c r="A27" s="12">
        <v>44256</v>
      </c>
      <c r="B27" s="16">
        <v>21.037</v>
      </c>
    </row>
    <row r="28" spans="1:2" x14ac:dyDescent="0.25">
      <c r="A28" s="12">
        <v>44287</v>
      </c>
      <c r="B28" s="16">
        <v>0</v>
      </c>
    </row>
    <row r="29" spans="1:2" x14ac:dyDescent="0.25">
      <c r="A29" s="12">
        <v>44317</v>
      </c>
      <c r="B29" s="16">
        <v>14.833</v>
      </c>
    </row>
    <row r="30" spans="1:2" x14ac:dyDescent="0.25">
      <c r="A30" s="12">
        <v>44348</v>
      </c>
      <c r="B30" s="16">
        <v>40.774</v>
      </c>
    </row>
    <row r="31" spans="1:2" x14ac:dyDescent="0.25">
      <c r="A31" s="12">
        <v>44378</v>
      </c>
      <c r="B31" s="16">
        <v>49.462</v>
      </c>
    </row>
    <row r="32" spans="1:2" x14ac:dyDescent="0.25">
      <c r="A32" s="12">
        <v>44409</v>
      </c>
      <c r="B32" s="16">
        <v>16.618</v>
      </c>
    </row>
    <row r="33" spans="1:2" x14ac:dyDescent="0.25">
      <c r="A33" s="12">
        <v>44440</v>
      </c>
      <c r="B33" s="16">
        <v>3.785</v>
      </c>
    </row>
    <row r="34" spans="1:2" x14ac:dyDescent="0.25">
      <c r="A34" s="12">
        <v>44470</v>
      </c>
      <c r="B34" s="16">
        <v>13.452</v>
      </c>
    </row>
    <row r="35" spans="1:2" x14ac:dyDescent="0.25">
      <c r="A35" s="12">
        <v>44501</v>
      </c>
      <c r="B35" s="16">
        <v>0</v>
      </c>
    </row>
    <row r="36" spans="1:2" x14ac:dyDescent="0.25">
      <c r="A36" s="12">
        <v>44531</v>
      </c>
      <c r="B36" s="16">
        <v>0.693</v>
      </c>
    </row>
    <row r="37" spans="1:2" x14ac:dyDescent="0.25">
      <c r="A37" s="12">
        <v>44562</v>
      </c>
      <c r="B37" s="16">
        <v>4.348</v>
      </c>
    </row>
    <row r="38" spans="1:2" x14ac:dyDescent="0.25">
      <c r="A38" s="12">
        <v>44593</v>
      </c>
      <c r="B38" s="16">
        <v>19.448</v>
      </c>
    </row>
    <row r="39" spans="1:2" x14ac:dyDescent="0.25">
      <c r="A39" s="12">
        <v>44621</v>
      </c>
      <c r="B39" s="16">
        <v>21.693</v>
      </c>
    </row>
    <row r="40" spans="1:2" x14ac:dyDescent="0.25">
      <c r="A40" s="12">
        <v>44652</v>
      </c>
      <c r="B40" s="16">
        <v>0</v>
      </c>
    </row>
    <row r="41" spans="1:2" x14ac:dyDescent="0.25">
      <c r="A41" s="12">
        <v>44682</v>
      </c>
      <c r="B41" s="16">
        <v>25.89</v>
      </c>
    </row>
    <row r="42" spans="1:2" x14ac:dyDescent="0.25">
      <c r="A42" s="12">
        <v>44713</v>
      </c>
      <c r="B42" s="16">
        <v>40.362</v>
      </c>
    </row>
    <row r="43" spans="1:2" x14ac:dyDescent="0.25">
      <c r="A43" s="12">
        <v>44743</v>
      </c>
      <c r="B43" s="16">
        <v>49.877</v>
      </c>
    </row>
    <row r="44" spans="1:2" x14ac:dyDescent="0.25">
      <c r="A44" s="12">
        <v>44774</v>
      </c>
      <c r="B44" s="16">
        <v>18.691</v>
      </c>
    </row>
    <row r="45" spans="1:2" x14ac:dyDescent="0.25">
      <c r="A45" s="12">
        <v>44805</v>
      </c>
      <c r="B45" s="16">
        <v>3.975</v>
      </c>
    </row>
    <row r="46" spans="1:2" x14ac:dyDescent="0.25">
      <c r="A46" s="12">
        <v>44835</v>
      </c>
      <c r="B46" s="16">
        <v>14.479</v>
      </c>
    </row>
    <row r="47" spans="1:2" x14ac:dyDescent="0.25">
      <c r="A47" s="12">
        <v>44866</v>
      </c>
      <c r="B47" s="16">
        <v>0</v>
      </c>
    </row>
    <row r="48" spans="1:2" x14ac:dyDescent="0.25">
      <c r="A48" s="12">
        <v>44896</v>
      </c>
      <c r="B48" s="16">
        <v>0.693</v>
      </c>
    </row>
    <row r="49" spans="1:2" x14ac:dyDescent="0.25">
      <c r="A49" s="12">
        <v>44927</v>
      </c>
      <c r="B49" s="16">
        <v>4.348</v>
      </c>
    </row>
    <row r="50" spans="1:2" x14ac:dyDescent="0.25">
      <c r="A50" s="12">
        <v>44958</v>
      </c>
      <c r="B50" s="16">
        <v>19.448</v>
      </c>
    </row>
    <row r="51" spans="1:2" x14ac:dyDescent="0.25">
      <c r="A51" s="12">
        <v>44986</v>
      </c>
      <c r="B51" s="16">
        <v>21.693</v>
      </c>
    </row>
    <row r="52" spans="1:2" x14ac:dyDescent="0.25">
      <c r="A52" s="12">
        <v>45017</v>
      </c>
      <c r="B52" s="16">
        <v>0</v>
      </c>
    </row>
    <row r="53" spans="1:2" x14ac:dyDescent="0.25">
      <c r="A53" s="12">
        <v>45047</v>
      </c>
      <c r="B53" s="16">
        <v>25.89</v>
      </c>
    </row>
    <row r="54" spans="1:2" x14ac:dyDescent="0.25">
      <c r="A54" s="12">
        <v>45078</v>
      </c>
      <c r="B54" s="16">
        <v>40.362</v>
      </c>
    </row>
    <row r="55" spans="1:2" x14ac:dyDescent="0.25">
      <c r="A55" s="12">
        <v>45108</v>
      </c>
      <c r="B55" s="16">
        <v>49.877</v>
      </c>
    </row>
    <row r="56" spans="1:2" x14ac:dyDescent="0.25">
      <c r="A56" s="12">
        <v>45139</v>
      </c>
      <c r="B56" s="16">
        <v>18.691</v>
      </c>
    </row>
    <row r="57" spans="1:2" x14ac:dyDescent="0.25">
      <c r="A57" s="12">
        <v>45170</v>
      </c>
      <c r="B57" s="16">
        <v>3.975</v>
      </c>
    </row>
    <row r="58" spans="1:2" x14ac:dyDescent="0.25">
      <c r="A58" s="12">
        <v>45200</v>
      </c>
      <c r="B58" s="16">
        <v>14.479</v>
      </c>
    </row>
    <row r="59" spans="1:2" x14ac:dyDescent="0.25">
      <c r="A59" s="12">
        <v>45231</v>
      </c>
      <c r="B59" s="16">
        <v>0</v>
      </c>
    </row>
    <row r="60" spans="1:2" x14ac:dyDescent="0.25">
      <c r="A60" s="12">
        <v>45261</v>
      </c>
      <c r="B60" s="16">
        <v>0.693</v>
      </c>
    </row>
    <row r="61" spans="1:2" x14ac:dyDescent="0.25">
      <c r="A61" s="12">
        <v>45292</v>
      </c>
      <c r="B61" s="16">
        <v>4.348</v>
      </c>
    </row>
    <row r="62" spans="1:2" x14ac:dyDescent="0.25">
      <c r="A62" s="12">
        <v>45323</v>
      </c>
      <c r="B62" s="16">
        <v>19.448</v>
      </c>
    </row>
    <row r="63" spans="1:2" x14ac:dyDescent="0.25">
      <c r="A63" s="12">
        <v>45351</v>
      </c>
      <c r="B63" s="16">
        <v>21.693</v>
      </c>
    </row>
    <row r="64" spans="1:2" x14ac:dyDescent="0.25">
      <c r="A64" s="12">
        <v>45382</v>
      </c>
      <c r="B64" s="16">
        <v>0</v>
      </c>
    </row>
    <row r="65" spans="1:2" x14ac:dyDescent="0.25">
      <c r="A65" s="12">
        <v>45412</v>
      </c>
      <c r="B65" s="16">
        <v>25.89</v>
      </c>
    </row>
    <row r="66" spans="1:2" x14ac:dyDescent="0.25">
      <c r="A66" s="12">
        <v>45443</v>
      </c>
      <c r="B66" s="16">
        <v>40.362</v>
      </c>
    </row>
    <row r="67" spans="1:2" x14ac:dyDescent="0.25">
      <c r="A67" s="12">
        <v>45473</v>
      </c>
      <c r="B67" s="16">
        <v>49.877</v>
      </c>
    </row>
    <row r="68" spans="1:2" x14ac:dyDescent="0.25">
      <c r="A68" s="12">
        <v>45504</v>
      </c>
      <c r="B68" s="16">
        <v>18.691</v>
      </c>
    </row>
    <row r="69" spans="1:2" x14ac:dyDescent="0.25">
      <c r="A69" s="12">
        <v>45535</v>
      </c>
      <c r="B69" s="16">
        <v>3.975</v>
      </c>
    </row>
    <row r="70" spans="1:2" x14ac:dyDescent="0.25">
      <c r="A70" s="12">
        <v>45565</v>
      </c>
      <c r="B70" s="16">
        <v>14.479</v>
      </c>
    </row>
    <row r="71" spans="1:2" x14ac:dyDescent="0.25">
      <c r="A71" s="12">
        <v>45596</v>
      </c>
      <c r="B71" s="16">
        <v>0</v>
      </c>
    </row>
    <row r="72" spans="1:2" x14ac:dyDescent="0.25">
      <c r="A72" s="12">
        <v>45626</v>
      </c>
      <c r="B72" s="16">
        <v>0.693</v>
      </c>
    </row>
    <row r="73" spans="1:2" x14ac:dyDescent="0.25">
      <c r="A73" s="12">
        <v>45657</v>
      </c>
      <c r="B73" s="16">
        <v>4.348</v>
      </c>
    </row>
    <row r="74" spans="1:2" x14ac:dyDescent="0.25">
      <c r="A74" s="12">
        <v>45688</v>
      </c>
      <c r="B74" s="16">
        <v>19.448</v>
      </c>
    </row>
    <row r="75" spans="1:2" x14ac:dyDescent="0.25">
      <c r="A75" s="12">
        <v>45716</v>
      </c>
      <c r="B75" s="16">
        <v>21.693</v>
      </c>
    </row>
    <row r="76" spans="1:2" x14ac:dyDescent="0.25">
      <c r="A76" s="12">
        <v>45747</v>
      </c>
      <c r="B76" s="16">
        <v>0</v>
      </c>
    </row>
    <row r="77" spans="1:2" x14ac:dyDescent="0.25">
      <c r="A77" s="12">
        <v>45777</v>
      </c>
      <c r="B77" s="16">
        <v>25.89</v>
      </c>
    </row>
    <row r="78" spans="1:2" x14ac:dyDescent="0.25">
      <c r="A78" s="12">
        <v>45808</v>
      </c>
      <c r="B78" s="16">
        <v>40.362</v>
      </c>
    </row>
    <row r="79" spans="1:2" x14ac:dyDescent="0.25">
      <c r="A79" s="12">
        <v>45838</v>
      </c>
      <c r="B79" s="16">
        <v>49.877</v>
      </c>
    </row>
    <row r="80" spans="1:2" x14ac:dyDescent="0.25">
      <c r="A80" s="12">
        <v>45869</v>
      </c>
      <c r="B80" s="16">
        <v>18.691</v>
      </c>
    </row>
    <row r="81" spans="1:2" x14ac:dyDescent="0.25">
      <c r="A81" s="12">
        <v>45900</v>
      </c>
      <c r="B81" s="16">
        <v>3.975</v>
      </c>
    </row>
    <row r="82" spans="1:2" x14ac:dyDescent="0.25">
      <c r="A82" s="12">
        <v>45930</v>
      </c>
      <c r="B82" s="16">
        <v>14.479</v>
      </c>
    </row>
    <row r="83" spans="1:2" x14ac:dyDescent="0.25">
      <c r="A83" s="12">
        <v>45961</v>
      </c>
      <c r="B83" s="16">
        <v>0</v>
      </c>
    </row>
    <row r="84" spans="1:2" x14ac:dyDescent="0.25">
      <c r="A84" s="12">
        <v>45991</v>
      </c>
      <c r="B84" s="16">
        <v>0.693</v>
      </c>
    </row>
    <row r="85" spans="1:2" x14ac:dyDescent="0.25">
      <c r="A85" s="12">
        <v>46022</v>
      </c>
      <c r="B85" s="16">
        <v>4.348</v>
      </c>
    </row>
    <row r="86" spans="1:2" x14ac:dyDescent="0.25">
      <c r="A86" s="12">
        <v>46053</v>
      </c>
      <c r="B86" s="16">
        <v>19.448</v>
      </c>
    </row>
    <row r="87" spans="1:2" x14ac:dyDescent="0.25">
      <c r="A87" s="12">
        <v>46081</v>
      </c>
      <c r="B87" s="16">
        <v>21.693</v>
      </c>
    </row>
    <row r="88" spans="1:2" x14ac:dyDescent="0.25">
      <c r="A88" s="12">
        <v>46112</v>
      </c>
      <c r="B88" s="16">
        <v>0</v>
      </c>
    </row>
    <row r="89" spans="1:2" x14ac:dyDescent="0.25">
      <c r="A89" s="12">
        <v>46142</v>
      </c>
      <c r="B89" s="16">
        <v>25.89</v>
      </c>
    </row>
    <row r="90" spans="1:2" x14ac:dyDescent="0.25">
      <c r="A90" s="12">
        <v>46173</v>
      </c>
      <c r="B90" s="16">
        <v>40.362</v>
      </c>
    </row>
    <row r="91" spans="1:2" x14ac:dyDescent="0.25">
      <c r="A91" s="12">
        <v>46203</v>
      </c>
      <c r="B91" s="16">
        <v>49.877</v>
      </c>
    </row>
    <row r="92" spans="1:2" x14ac:dyDescent="0.25">
      <c r="A92" s="12">
        <v>46234</v>
      </c>
      <c r="B92" s="16">
        <v>18.691</v>
      </c>
    </row>
    <row r="93" spans="1:2" x14ac:dyDescent="0.25">
      <c r="A93" s="12">
        <v>46265</v>
      </c>
      <c r="B93" s="16">
        <v>3.975</v>
      </c>
    </row>
    <row r="94" spans="1:2" x14ac:dyDescent="0.25">
      <c r="A94" s="12">
        <v>46295</v>
      </c>
      <c r="B94" s="16">
        <v>14.479</v>
      </c>
    </row>
    <row r="95" spans="1:2" x14ac:dyDescent="0.25">
      <c r="A95" s="12">
        <v>46326</v>
      </c>
      <c r="B95" s="16">
        <v>0</v>
      </c>
    </row>
    <row r="96" spans="1:2" x14ac:dyDescent="0.25">
      <c r="A96" s="12">
        <v>46356</v>
      </c>
      <c r="B96" s="16">
        <v>0.693</v>
      </c>
    </row>
    <row r="97" spans="1:2" x14ac:dyDescent="0.25">
      <c r="A97" s="12">
        <v>46387</v>
      </c>
      <c r="B97" s="16">
        <v>4.348</v>
      </c>
    </row>
    <row r="98" spans="1:2" x14ac:dyDescent="0.25">
      <c r="A98" s="12">
        <v>46418</v>
      </c>
      <c r="B98" s="16">
        <v>19.448</v>
      </c>
    </row>
    <row r="99" spans="1:2" x14ac:dyDescent="0.25">
      <c r="A99" s="12">
        <v>46446</v>
      </c>
      <c r="B99" s="16">
        <v>21.693</v>
      </c>
    </row>
    <row r="100" spans="1:2" x14ac:dyDescent="0.25">
      <c r="A100" s="12">
        <v>46477</v>
      </c>
      <c r="B100" s="16">
        <v>0</v>
      </c>
    </row>
    <row r="101" spans="1:2" x14ac:dyDescent="0.25">
      <c r="A101" s="12">
        <v>46507</v>
      </c>
      <c r="B101" s="16">
        <v>25.89</v>
      </c>
    </row>
    <row r="102" spans="1:2" x14ac:dyDescent="0.25">
      <c r="A102" s="12">
        <v>46538</v>
      </c>
      <c r="B102" s="16">
        <v>40.362</v>
      </c>
    </row>
    <row r="103" spans="1:2" x14ac:dyDescent="0.25">
      <c r="A103" s="12">
        <v>46568</v>
      </c>
      <c r="B103" s="16">
        <v>49.877</v>
      </c>
    </row>
    <row r="104" spans="1:2" x14ac:dyDescent="0.25">
      <c r="A104" s="12">
        <v>46599</v>
      </c>
      <c r="B104" s="16">
        <v>18.691</v>
      </c>
    </row>
    <row r="105" spans="1:2" x14ac:dyDescent="0.25">
      <c r="A105" s="12">
        <v>46630</v>
      </c>
      <c r="B105" s="16">
        <v>3.975</v>
      </c>
    </row>
    <row r="106" spans="1:2" x14ac:dyDescent="0.25">
      <c r="A106" s="12">
        <v>46660</v>
      </c>
      <c r="B106" s="16">
        <v>14.479</v>
      </c>
    </row>
    <row r="107" spans="1:2" x14ac:dyDescent="0.25">
      <c r="A107" s="12">
        <v>46691</v>
      </c>
      <c r="B107" s="16">
        <v>0</v>
      </c>
    </row>
    <row r="108" spans="1:2" x14ac:dyDescent="0.25">
      <c r="A108" s="12">
        <v>46721</v>
      </c>
      <c r="B108" s="16">
        <v>0.693</v>
      </c>
    </row>
    <row r="109" spans="1:2" x14ac:dyDescent="0.25">
      <c r="A109" s="12">
        <v>46752</v>
      </c>
      <c r="B109" s="16">
        <v>4.348</v>
      </c>
    </row>
    <row r="110" spans="1:2" x14ac:dyDescent="0.25">
      <c r="A110" s="12">
        <v>46783</v>
      </c>
      <c r="B110" s="16">
        <v>19.448</v>
      </c>
    </row>
    <row r="111" spans="1:2" x14ac:dyDescent="0.25">
      <c r="A111" s="12">
        <v>46811</v>
      </c>
      <c r="B111" s="16">
        <v>21.693</v>
      </c>
    </row>
    <row r="112" spans="1:2" x14ac:dyDescent="0.25">
      <c r="A112" s="12">
        <v>46842</v>
      </c>
      <c r="B112" s="16">
        <v>0</v>
      </c>
    </row>
    <row r="113" spans="1:2" x14ac:dyDescent="0.25">
      <c r="A113" s="12">
        <v>46872</v>
      </c>
      <c r="B113" s="16">
        <v>25.89</v>
      </c>
    </row>
    <row r="114" spans="1:2" x14ac:dyDescent="0.25">
      <c r="A114" s="12">
        <v>46903</v>
      </c>
      <c r="B114" s="16">
        <v>40.362</v>
      </c>
    </row>
    <row r="115" spans="1:2" x14ac:dyDescent="0.25">
      <c r="A115" s="12">
        <v>46933</v>
      </c>
      <c r="B115" s="16">
        <v>49.877</v>
      </c>
    </row>
    <row r="116" spans="1:2" x14ac:dyDescent="0.25">
      <c r="A116" s="12">
        <v>46964</v>
      </c>
      <c r="B116" s="16">
        <v>18.691</v>
      </c>
    </row>
    <row r="117" spans="1:2" x14ac:dyDescent="0.25">
      <c r="A117" s="12">
        <v>46995</v>
      </c>
      <c r="B117" s="16">
        <v>3.975</v>
      </c>
    </row>
    <row r="118" spans="1:2" x14ac:dyDescent="0.25">
      <c r="A118" s="12">
        <v>47025</v>
      </c>
      <c r="B118" s="16">
        <v>14.479</v>
      </c>
    </row>
    <row r="119" spans="1:2" x14ac:dyDescent="0.25">
      <c r="A119" s="12">
        <v>47056</v>
      </c>
      <c r="B119" s="16">
        <v>0</v>
      </c>
    </row>
    <row r="120" spans="1:2" x14ac:dyDescent="0.25">
      <c r="A120" s="12">
        <v>47086</v>
      </c>
      <c r="B120" s="16">
        <v>0.693</v>
      </c>
    </row>
    <row r="121" spans="1:2" x14ac:dyDescent="0.25">
      <c r="A121" s="12">
        <v>47117</v>
      </c>
      <c r="B121" s="16">
        <v>4.348</v>
      </c>
    </row>
    <row r="122" spans="1:2" x14ac:dyDescent="0.25">
      <c r="A122" s="12">
        <v>47148</v>
      </c>
      <c r="B122" s="16">
        <v>19.448</v>
      </c>
    </row>
    <row r="123" spans="1:2" x14ac:dyDescent="0.25">
      <c r="A123" s="12">
        <v>47176</v>
      </c>
      <c r="B123" s="16">
        <v>21.693</v>
      </c>
    </row>
    <row r="124" spans="1:2" x14ac:dyDescent="0.25">
      <c r="A124" s="12">
        <v>47207</v>
      </c>
      <c r="B124" s="16">
        <v>0</v>
      </c>
    </row>
    <row r="125" spans="1:2" x14ac:dyDescent="0.25">
      <c r="A125" s="12">
        <v>47237</v>
      </c>
      <c r="B125" s="16">
        <v>25.89</v>
      </c>
    </row>
    <row r="126" spans="1:2" x14ac:dyDescent="0.25">
      <c r="A126" s="12">
        <v>47268</v>
      </c>
      <c r="B126" s="16">
        <v>40.362</v>
      </c>
    </row>
    <row r="127" spans="1:2" x14ac:dyDescent="0.25">
      <c r="A127" s="12">
        <v>47298</v>
      </c>
      <c r="B127" s="16">
        <v>49.877</v>
      </c>
    </row>
    <row r="128" spans="1:2" x14ac:dyDescent="0.25">
      <c r="A128" s="12">
        <v>47329</v>
      </c>
      <c r="B128" s="16">
        <v>18.691</v>
      </c>
    </row>
  </sheetData>
  <mergeCells count="4">
    <mergeCell ref="A4:H4"/>
    <mergeCell ref="A5:H5"/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Vol Surface</vt:lpstr>
      <vt:lpstr>Surface Parameters</vt:lpstr>
      <vt:lpstr>Rate Curve</vt:lpstr>
      <vt:lpstr>Dividends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Rathi Wealth</dc:creator>
  <dc:title/>
  <dc:subject/>
  <dc:description/>
  <cp:keywords/>
  <cp:category/>
  <cp:lastModifiedBy>Unknown</cp:lastModifiedBy>
  <dcterms:created xsi:type="dcterms:W3CDTF">2026-10-27T13:03:47Z</dcterms:created>
  <dcterms:modified xsi:type="dcterms:W3CDTF">2026-10-27T13:03:47Z</dcterms:modified>
</cp:coreProperties>
</file>